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nue\Google Drive\Docencia Posgrado\2018-present UCEMA\2022\Modulo Derivados Financieros\"/>
    </mc:Choice>
  </mc:AlternateContent>
  <xr:revisionPtr revIDLastSave="0" documentId="8_{363750C1-C508-4AB7-9B5E-855B761D8F1B}" xr6:coauthVersionLast="47" xr6:coauthVersionMax="47" xr10:uidLastSave="{00000000-0000-0000-0000-000000000000}"/>
  <bookViews>
    <workbookView xWindow="-110" yWindow="-110" windowWidth="25820" windowHeight="15500" activeTab="1" xr2:uid="{00000000-000D-0000-FFFF-FFFF00000000}"/>
  </bookViews>
  <sheets>
    <sheet name="Ejercicio" sheetId="37" r:id="rId1"/>
    <sheet name="BYMA - Equity" sheetId="31" r:id="rId2"/>
    <sheet name="NYSE - Equity" sheetId="33" r:id="rId3"/>
    <sheet name="CME - Futuro Soja" sheetId="32" r:id="rId4"/>
    <sheet name="ROFEX - Futuro Soja" sheetId="34" r:id="rId5"/>
    <sheet name="Crypto - BTCUSD" sheetId="36" r:id="rId6"/>
  </sheets>
  <definedNames>
    <definedName name="_xlnm._FilterDatabase" localSheetId="1" hidden="1">'BYMA - Equity'!$A$9:$N$133</definedName>
    <definedName name="_xlnm._FilterDatabase" localSheetId="3" hidden="1">'CME - Futuro Soja'!$A$9:$O$160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8" i="34" l="1"/>
  <c r="C67" i="34"/>
  <c r="C66" i="34"/>
  <c r="C65" i="34"/>
  <c r="C64" i="34"/>
  <c r="C63" i="34"/>
  <c r="C62" i="34"/>
  <c r="C61" i="34"/>
  <c r="C60" i="34"/>
  <c r="C59" i="34"/>
  <c r="C58" i="34"/>
  <c r="C57" i="34"/>
  <c r="L91" i="33"/>
  <c r="L90" i="33"/>
  <c r="L89" i="33"/>
  <c r="L88" i="33"/>
  <c r="L87" i="33"/>
  <c r="L86" i="33"/>
  <c r="L85" i="33" l="1"/>
  <c r="L84" i="33"/>
  <c r="L83" i="33"/>
  <c r="L82" i="33"/>
  <c r="L81" i="33"/>
  <c r="L80" i="33"/>
  <c r="L79" i="33"/>
  <c r="L78" i="33"/>
  <c r="L77" i="33"/>
  <c r="L76" i="33"/>
  <c r="L75" i="33"/>
  <c r="L74" i="33"/>
  <c r="L73" i="33"/>
  <c r="L72" i="33"/>
  <c r="L71" i="33"/>
  <c r="L70" i="33"/>
  <c r="L69" i="33"/>
  <c r="L68" i="33"/>
  <c r="L67" i="33"/>
  <c r="L66" i="33"/>
  <c r="L65" i="33"/>
  <c r="L64" i="33"/>
  <c r="L63" i="33"/>
  <c r="L62" i="33"/>
  <c r="L61" i="33"/>
  <c r="L60" i="33"/>
  <c r="L59" i="33"/>
  <c r="L58" i="33"/>
  <c r="L57" i="33"/>
  <c r="L56" i="33"/>
  <c r="L55" i="33"/>
  <c r="L54" i="33"/>
  <c r="L53" i="33"/>
  <c r="L52" i="33"/>
  <c r="L51" i="33"/>
  <c r="L50" i="33"/>
  <c r="L49" i="33"/>
  <c r="L48" i="33"/>
  <c r="L47" i="33"/>
  <c r="L46" i="33"/>
  <c r="L45" i="33"/>
  <c r="L44" i="33"/>
  <c r="L43" i="33"/>
  <c r="L42" i="33"/>
  <c r="L41" i="33"/>
  <c r="L40" i="33"/>
  <c r="L39" i="33"/>
  <c r="L38" i="33"/>
  <c r="L37" i="33"/>
  <c r="L36" i="33"/>
  <c r="L35" i="33"/>
  <c r="L34" i="33"/>
  <c r="L33" i="33"/>
  <c r="L32" i="33"/>
  <c r="L31" i="33"/>
  <c r="L30" i="33"/>
  <c r="L29" i="33"/>
  <c r="L28" i="33"/>
  <c r="L27" i="33"/>
  <c r="L26" i="33"/>
  <c r="L25" i="33"/>
  <c r="L24" i="33"/>
  <c r="L23" i="33"/>
  <c r="L22" i="33"/>
  <c r="L21" i="33"/>
  <c r="L20" i="33"/>
  <c r="L19" i="33"/>
  <c r="L18" i="33"/>
  <c r="L17" i="33"/>
  <c r="L16" i="33"/>
  <c r="L15" i="33"/>
  <c r="L14" i="33"/>
  <c r="L13" i="33"/>
  <c r="L12" i="33"/>
  <c r="L11" i="33"/>
</calcChain>
</file>

<file path=xl/sharedStrings.xml><?xml version="1.0" encoding="utf-8"?>
<sst xmlns="http://schemas.openxmlformats.org/spreadsheetml/2006/main" count="3168" uniqueCount="1160">
  <si>
    <t>-</t>
  </si>
  <si>
    <t>Change</t>
  </si>
  <si>
    <t>Last Trade Date</t>
  </si>
  <si>
    <t>Strike</t>
  </si>
  <si>
    <t>Last Price</t>
  </si>
  <si>
    <t>Bid</t>
  </si>
  <si>
    <t>Ask</t>
  </si>
  <si>
    <t>% Change</t>
  </si>
  <si>
    <t>Volume</t>
  </si>
  <si>
    <t>Open Interest</t>
  </si>
  <si>
    <t>Implied Volatility</t>
  </si>
  <si>
    <t>Contract Name</t>
  </si>
  <si>
    <t>CALLS</t>
  </si>
  <si>
    <t>PUTS</t>
  </si>
  <si>
    <t>UPDATED</t>
  </si>
  <si>
    <t>VOLUME</t>
  </si>
  <si>
    <t>HIGH</t>
  </si>
  <si>
    <t>LOW</t>
  </si>
  <si>
    <t>PRIOR SETTLE</t>
  </si>
  <si>
    <t>CHANGE</t>
  </si>
  <si>
    <t>LAST</t>
  </si>
  <si>
    <t>Link</t>
  </si>
  <si>
    <t>https://www.cmegroup.com/trading/agricultural/grain-and-oilseed/soybean_quotes_globex_options.html#optionProductId=321&amp;strikeRange=ALL</t>
  </si>
  <si>
    <t>Comentarios</t>
  </si>
  <si>
    <t>Cambiar " ' " por "." (Ctr H replace)</t>
  </si>
  <si>
    <t>Subyacente:</t>
  </si>
  <si>
    <t>Filtrar por:</t>
  </si>
  <si>
    <t>Last que no sea "-"</t>
  </si>
  <si>
    <t>Graficar:</t>
  </si>
  <si>
    <t>Sugerencia de Agregar columna Mid = Promedio de Bid y Ask (columnas E y F)</t>
  </si>
  <si>
    <t>Volume que no sea "-"</t>
  </si>
  <si>
    <t>https://finance.yahoo.com/quote/FB/options?p=FB</t>
  </si>
  <si>
    <t>https://matbarofex.primary.ventures/opciones/agropecuarias</t>
  </si>
  <si>
    <t>Puts</t>
  </si>
  <si>
    <t>Last</t>
  </si>
  <si>
    <t>Size</t>
  </si>
  <si>
    <t>IV</t>
  </si>
  <si>
    <t>Vol</t>
  </si>
  <si>
    <t>Δ|Delta</t>
  </si>
  <si>
    <t>Calls</t>
  </si>
  <si>
    <t>35,00</t>
  </si>
  <si>
    <t>10,00</t>
  </si>
  <si>
    <t>SUBYACENTE </t>
  </si>
  <si>
    <t>ESPECIE </t>
  </si>
  <si>
    <t>TIPO </t>
  </si>
  <si>
    <t>VENCIMIENTO </t>
  </si>
  <si>
    <t>PRECIO EJERCICIO </t>
  </si>
  <si>
    <t>ÚLTIMO PRECIO (PRIMA) </t>
  </si>
  <si>
    <t>VARIACIÓN </t>
  </si>
  <si>
    <t>CANT. COMPRA </t>
  </si>
  <si>
    <t>PRECIO COMPRA </t>
  </si>
  <si>
    <t>PRECIO VENTA </t>
  </si>
  <si>
    <t>CANT. VENTA </t>
  </si>
  <si>
    <t>VOLUMEN (LOTES) </t>
  </si>
  <si>
    <t>VOLUMEN (MONTO) </t>
  </si>
  <si>
    <t>HORA </t>
  </si>
  <si>
    <t>Call</t>
  </si>
  <si>
    <t>0,17</t>
  </si>
  <si>
    <t>0,00</t>
  </si>
  <si>
    <t>0,18</t>
  </si>
  <si>
    <t>2.000,00</t>
  </si>
  <si>
    <t>0,02</t>
  </si>
  <si>
    <t>0,25</t>
  </si>
  <si>
    <t>0,01</t>
  </si>
  <si>
    <t>0,11</t>
  </si>
  <si>
    <t>0,04</t>
  </si>
  <si>
    <t>0,03</t>
  </si>
  <si>
    <t>0,06</t>
  </si>
  <si>
    <t>100,00</t>
  </si>
  <si>
    <t>24,00</t>
  </si>
  <si>
    <t>19,00</t>
  </si>
  <si>
    <t>21,00</t>
  </si>
  <si>
    <t>0,07</t>
  </si>
  <si>
    <t>Put</t>
  </si>
  <si>
    <t>16,00</t>
  </si>
  <si>
    <t>0,20</t>
  </si>
  <si>
    <t>53,00</t>
  </si>
  <si>
    <t>300,00</t>
  </si>
  <si>
    <t>1,00</t>
  </si>
  <si>
    <t>0,45</t>
  </si>
  <si>
    <t>2,00</t>
  </si>
  <si>
    <t>0,09</t>
  </si>
  <si>
    <t>0,05</t>
  </si>
  <si>
    <t>150,00</t>
  </si>
  <si>
    <t>https://www.allaria.com.ar/Opcion#0</t>
  </si>
  <si>
    <t>Strike vs Last E vs F (filtrar vencimientos Calls/Puts)</t>
  </si>
  <si>
    <t>Strike vs Last CALLS (J vs A) y Strike vs Last PUTS (J vs K)</t>
  </si>
  <si>
    <t>Es una imagen! Habria que 'hardcodear' los inputs (ver abajo)</t>
  </si>
  <si>
    <t>Precio</t>
  </si>
  <si>
    <t>FB</t>
  </si>
  <si>
    <t>Fecha</t>
  </si>
  <si>
    <t>9 de Octubre</t>
  </si>
  <si>
    <t>Strike Vs Precio</t>
  </si>
  <si>
    <t>Mid price</t>
  </si>
  <si>
    <t>GGAL</t>
  </si>
  <si>
    <t>GFGC250.DI</t>
  </si>
  <si>
    <t>17/12/2021</t>
  </si>
  <si>
    <t>12,80</t>
  </si>
  <si>
    <t>5,00</t>
  </si>
  <si>
    <t>12,71</t>
  </si>
  <si>
    <t>9,00</t>
  </si>
  <si>
    <t>22/10/2021 16:59</t>
  </si>
  <si>
    <t>GFGC230.DI</t>
  </si>
  <si>
    <t>21,65</t>
  </si>
  <si>
    <t>22,50</t>
  </si>
  <si>
    <t>20,00</t>
  </si>
  <si>
    <t>GFGC240.DI</t>
  </si>
  <si>
    <t>16,80</t>
  </si>
  <si>
    <t>18,00</t>
  </si>
  <si>
    <t>17,00</t>
  </si>
  <si>
    <t>77,00</t>
  </si>
  <si>
    <t>GFGC220.DI</t>
  </si>
  <si>
    <t>3,00</t>
  </si>
  <si>
    <t>27,80</t>
  </si>
  <si>
    <t>GFGC260.DI</t>
  </si>
  <si>
    <t>4,90</t>
  </si>
  <si>
    <t>9,65</t>
  </si>
  <si>
    <t>15,00</t>
  </si>
  <si>
    <t>GFGC210.DI</t>
  </si>
  <si>
    <t>34,90</t>
  </si>
  <si>
    <t>34,30</t>
  </si>
  <si>
    <t>GFGC200.DI</t>
  </si>
  <si>
    <t>42,50</t>
  </si>
  <si>
    <t>42,00</t>
  </si>
  <si>
    <t>42,05</t>
  </si>
  <si>
    <t>GFGC270.DI</t>
  </si>
  <si>
    <t>7,00</t>
  </si>
  <si>
    <t>48,00</t>
  </si>
  <si>
    <t>7,12</t>
  </si>
  <si>
    <t>GFGC280.DI</t>
  </si>
  <si>
    <t>80,00</t>
  </si>
  <si>
    <t>5,05</t>
  </si>
  <si>
    <t>26,90</t>
  </si>
  <si>
    <t>GFGV210.DI</t>
  </si>
  <si>
    <t>5,61</t>
  </si>
  <si>
    <t>101,00</t>
  </si>
  <si>
    <t>3,45</t>
  </si>
  <si>
    <t>10,35</t>
  </si>
  <si>
    <t>4.304,00</t>
  </si>
  <si>
    <t>GFGC190.DI</t>
  </si>
  <si>
    <t>15,30</t>
  </si>
  <si>
    <t>52,00</t>
  </si>
  <si>
    <t>GFGV220.DI</t>
  </si>
  <si>
    <t>8,60</t>
  </si>
  <si>
    <t>8,50</t>
  </si>
  <si>
    <t>2.513,00</t>
  </si>
  <si>
    <t>22/10/2021 16:54</t>
  </si>
  <si>
    <t>GFGV230.DI</t>
  </si>
  <si>
    <t>12,45</t>
  </si>
  <si>
    <t>12,20</t>
  </si>
  <si>
    <t>12,70</t>
  </si>
  <si>
    <t>1.404,00</t>
  </si>
  <si>
    <t>GFGC180.DI</t>
  </si>
  <si>
    <t>29,00</t>
  </si>
  <si>
    <t>35,50</t>
  </si>
  <si>
    <t>11,00</t>
  </si>
  <si>
    <t>22/10/2021 16:43</t>
  </si>
  <si>
    <t>GFGC300.DI</t>
  </si>
  <si>
    <t>50,00</t>
  </si>
  <si>
    <t>2,78</t>
  </si>
  <si>
    <t>25,00</t>
  </si>
  <si>
    <t>GFGC170.DI</t>
  </si>
  <si>
    <t>70,00</t>
  </si>
  <si>
    <t>30,00</t>
  </si>
  <si>
    <t>22/10/2021 16:58</t>
  </si>
  <si>
    <t>GFGC140.DI</t>
  </si>
  <si>
    <t>94,15</t>
  </si>
  <si>
    <t>96,95</t>
  </si>
  <si>
    <t>22/10/2021 15:59</t>
  </si>
  <si>
    <t>GFGV240.DI</t>
  </si>
  <si>
    <t>17,47</t>
  </si>
  <si>
    <t>389,00</t>
  </si>
  <si>
    <t>GFGC165.DI</t>
  </si>
  <si>
    <t>93,00</t>
  </si>
  <si>
    <t>81,00</t>
  </si>
  <si>
    <t>GFGV200.DI</t>
  </si>
  <si>
    <t>3,50</t>
  </si>
  <si>
    <t>3,79</t>
  </si>
  <si>
    <t>36,00</t>
  </si>
  <si>
    <t>1.709,00</t>
  </si>
  <si>
    <t>22/10/2021 16:56</t>
  </si>
  <si>
    <t>GFGC195.DI</t>
  </si>
  <si>
    <t>46,00</t>
  </si>
  <si>
    <t>45,00</t>
  </si>
  <si>
    <t>47,00</t>
  </si>
  <si>
    <t>8,00</t>
  </si>
  <si>
    <t>147,00</t>
  </si>
  <si>
    <t>22/10/2021 16:09</t>
  </si>
  <si>
    <t>GFGV180.DI</t>
  </si>
  <si>
    <t>1,35</t>
  </si>
  <si>
    <t>1,33</t>
  </si>
  <si>
    <t>1,79</t>
  </si>
  <si>
    <t>3.699,00</t>
  </si>
  <si>
    <t>GFGC290.DI</t>
  </si>
  <si>
    <t>3,80</t>
  </si>
  <si>
    <t>200,00</t>
  </si>
  <si>
    <t>3,65</t>
  </si>
  <si>
    <t>3,90</t>
  </si>
  <si>
    <t>22/10/2021 16:57</t>
  </si>
  <si>
    <t>GFGV190.DI</t>
  </si>
  <si>
    <t>2,20</t>
  </si>
  <si>
    <t>3,95</t>
  </si>
  <si>
    <t>1.753,00</t>
  </si>
  <si>
    <t>GFGC260.FE</t>
  </si>
  <si>
    <t>18/02/2022</t>
  </si>
  <si>
    <t>20,50</t>
  </si>
  <si>
    <t>102,00</t>
  </si>
  <si>
    <t>22/10/2021 16:50</t>
  </si>
  <si>
    <t>GFGV195.DI</t>
  </si>
  <si>
    <t>2,85</t>
  </si>
  <si>
    <t>3,02</t>
  </si>
  <si>
    <t>517,00</t>
  </si>
  <si>
    <t>22/10/2021 16:55</t>
  </si>
  <si>
    <t>GFGC185.DI</t>
  </si>
  <si>
    <t>59,65</t>
  </si>
  <si>
    <t>22/10/2021 11:49</t>
  </si>
  <si>
    <t>GFGC310.DI</t>
  </si>
  <si>
    <t>1,93</t>
  </si>
  <si>
    <t>GFGV170.DI</t>
  </si>
  <si>
    <t>0,89</t>
  </si>
  <si>
    <t>0,75</t>
  </si>
  <si>
    <t>1.265,00</t>
  </si>
  <si>
    <t>GFGV185.DI</t>
  </si>
  <si>
    <t>1,73</t>
  </si>
  <si>
    <t>1,57</t>
  </si>
  <si>
    <t>518,00</t>
  </si>
  <si>
    <t>GFGV160.DI</t>
  </si>
  <si>
    <t>0,54</t>
  </si>
  <si>
    <t>0,40</t>
  </si>
  <si>
    <t>1.302,00</t>
  </si>
  <si>
    <t>22/10/2021 16:48</t>
  </si>
  <si>
    <t>GFGC145.DI</t>
  </si>
  <si>
    <t>87,21</t>
  </si>
  <si>
    <t>92,94</t>
  </si>
  <si>
    <t>22/10/2021 16:23</t>
  </si>
  <si>
    <t>GFGC230.FE</t>
  </si>
  <si>
    <t>33,50</t>
  </si>
  <si>
    <t>28,00</t>
  </si>
  <si>
    <t>GFGC330.DI</t>
  </si>
  <si>
    <t>1,20</t>
  </si>
  <si>
    <t>27,00</t>
  </si>
  <si>
    <t>GFGV145.DI</t>
  </si>
  <si>
    <t>0,23</t>
  </si>
  <si>
    <t>1.328,00</t>
  </si>
  <si>
    <t>GFGV84.0DI</t>
  </si>
  <si>
    <t>1.588,00</t>
  </si>
  <si>
    <t>173,00</t>
  </si>
  <si>
    <t>3.995,00</t>
  </si>
  <si>
    <t>GFGV155.DI</t>
  </si>
  <si>
    <t>0,32</t>
  </si>
  <si>
    <t>337,00</t>
  </si>
  <si>
    <t>22/10/2021 15:26</t>
  </si>
  <si>
    <t>GFGV165.DI</t>
  </si>
  <si>
    <t>0,78</t>
  </si>
  <si>
    <t>82,00</t>
  </si>
  <si>
    <t>0,61</t>
  </si>
  <si>
    <t>158,00</t>
  </si>
  <si>
    <t>GFGC250.FE</t>
  </si>
  <si>
    <t>24,50</t>
  </si>
  <si>
    <t>21,50</t>
  </si>
  <si>
    <t>GFGC320.DI</t>
  </si>
  <si>
    <t>1,16</t>
  </si>
  <si>
    <t>1,50</t>
  </si>
  <si>
    <t>GFGC175.DI</t>
  </si>
  <si>
    <t>14,00</t>
  </si>
  <si>
    <t>61,20</t>
  </si>
  <si>
    <t>67,00</t>
  </si>
  <si>
    <t>22/10/2021 13:20</t>
  </si>
  <si>
    <t>GFGV175.DI</t>
  </si>
  <si>
    <t>1,12</t>
  </si>
  <si>
    <t>90,00</t>
  </si>
  <si>
    <t>GFGV180.FE</t>
  </si>
  <si>
    <t>2,50</t>
  </si>
  <si>
    <t>60,00</t>
  </si>
  <si>
    <t>22/10/2021 14:07</t>
  </si>
  <si>
    <t>GFGV150.DI</t>
  </si>
  <si>
    <t>0,29</t>
  </si>
  <si>
    <t>1.000,00</t>
  </si>
  <si>
    <t>0,21</t>
  </si>
  <si>
    <t>0,36</t>
  </si>
  <si>
    <t>296,00</t>
  </si>
  <si>
    <t>GFGC160.DI</t>
  </si>
  <si>
    <t>20,10</t>
  </si>
  <si>
    <t>85,00</t>
  </si>
  <si>
    <t>GFGV210.FE</t>
  </si>
  <si>
    <t>10,69</t>
  </si>
  <si>
    <t>22/10/2021 15:24</t>
  </si>
  <si>
    <t>GFGV200.FE</t>
  </si>
  <si>
    <t>6,80</t>
  </si>
  <si>
    <t>GFGC230.NO</t>
  </si>
  <si>
    <t>19/11/2021</t>
  </si>
  <si>
    <t>9,40</t>
  </si>
  <si>
    <t>8,15</t>
  </si>
  <si>
    <t>6,00</t>
  </si>
  <si>
    <t>GFGV135.DI</t>
  </si>
  <si>
    <t>133,00</t>
  </si>
  <si>
    <t>0,08</t>
  </si>
  <si>
    <t>0,15</t>
  </si>
  <si>
    <t>94,00</t>
  </si>
  <si>
    <t>22/10/2021 11:01</t>
  </si>
  <si>
    <t>GFGV132.DI</t>
  </si>
  <si>
    <t>135,00</t>
  </si>
  <si>
    <t>22/10/2021 14:50</t>
  </si>
  <si>
    <t>GFGV111.DI</t>
  </si>
  <si>
    <t>44,00</t>
  </si>
  <si>
    <t>99,00</t>
  </si>
  <si>
    <t>GFGV102.DI</t>
  </si>
  <si>
    <t>13,00</t>
  </si>
  <si>
    <t>22/10/2021 11:13</t>
  </si>
  <si>
    <t>GFGV129.DI</t>
  </si>
  <si>
    <t>22/10/2021 12:18</t>
  </si>
  <si>
    <t>GFGV140.DI</t>
  </si>
  <si>
    <t>1,80</t>
  </si>
  <si>
    <t>GFGC220.NO</t>
  </si>
  <si>
    <t>12,00</t>
  </si>
  <si>
    <t>21/10/2021 12:22</t>
  </si>
  <si>
    <t>GFGC132.DI</t>
  </si>
  <si>
    <t>97,00</t>
  </si>
  <si>
    <t>100,61</t>
  </si>
  <si>
    <t>21/10/2021 13:30</t>
  </si>
  <si>
    <t>GFGC150.DI</t>
  </si>
  <si>
    <t>80,45</t>
  </si>
  <si>
    <t>21/10/2021 12:25</t>
  </si>
  <si>
    <t>GFGC111.DI</t>
  </si>
  <si>
    <t>117,44</t>
  </si>
  <si>
    <t>112,00</t>
  </si>
  <si>
    <t>20/10/2021 13:18</t>
  </si>
  <si>
    <t>GFGC102.DI</t>
  </si>
  <si>
    <t>115,00</t>
  </si>
  <si>
    <t>124,66</t>
  </si>
  <si>
    <t>20/10/2021 12:56</t>
  </si>
  <si>
    <t>GFGC96.0DI</t>
  </si>
  <si>
    <t>131,38</t>
  </si>
  <si>
    <t>GFGC99.0DI</t>
  </si>
  <si>
    <t>128,57</t>
  </si>
  <si>
    <t>20/10/2021 15:35</t>
  </si>
  <si>
    <t>GFGC155.DI</t>
  </si>
  <si>
    <t>74,46</t>
  </si>
  <si>
    <t>83,83</t>
  </si>
  <si>
    <t>20/10/2021 14:54</t>
  </si>
  <si>
    <t>GFGC87.0DI</t>
  </si>
  <si>
    <t>138,87</t>
  </si>
  <si>
    <t>20/10/2021 12:51</t>
  </si>
  <si>
    <t>GFGC90.0DI</t>
  </si>
  <si>
    <t>137,01</t>
  </si>
  <si>
    <t>20/10/2021 12:52</t>
  </si>
  <si>
    <t>GFGC93.0DI</t>
  </si>
  <si>
    <t>134,19</t>
  </si>
  <si>
    <t>20/10/2021 12:54</t>
  </si>
  <si>
    <t>GFGC129.DI</t>
  </si>
  <si>
    <t>101,15</t>
  </si>
  <si>
    <t>20/10/2021 12:57</t>
  </si>
  <si>
    <t>GFGC135.DI</t>
  </si>
  <si>
    <t>23,00</t>
  </si>
  <si>
    <t>93,10</t>
  </si>
  <si>
    <t>101,25</t>
  </si>
  <si>
    <t>GFGC210.FE</t>
  </si>
  <si>
    <t>25,29</t>
  </si>
  <si>
    <t>37,94</t>
  </si>
  <si>
    <t>79,20</t>
  </si>
  <si>
    <t>20/10/2021 15:57</t>
  </si>
  <si>
    <t>GFGV195.FE</t>
  </si>
  <si>
    <t>3,38</t>
  </si>
  <si>
    <t>3,20</t>
  </si>
  <si>
    <t>9,10</t>
  </si>
  <si>
    <t>4,00</t>
  </si>
  <si>
    <t>20/10/2021 13:45</t>
  </si>
  <si>
    <t>GFGC175.FE</t>
  </si>
  <si>
    <t>69,65</t>
  </si>
  <si>
    <t>57,62</t>
  </si>
  <si>
    <t>73,99</t>
  </si>
  <si>
    <t>19/10/2021 14:09</t>
  </si>
  <si>
    <t>GFGC200.NO</t>
  </si>
  <si>
    <t>16,85</t>
  </si>
  <si>
    <t>16,58</t>
  </si>
  <si>
    <t>19/10/2021 15:01</t>
  </si>
  <si>
    <t>GFGC180.OC</t>
  </si>
  <si>
    <t>15/10/2021</t>
  </si>
  <si>
    <t>19,40</t>
  </si>
  <si>
    <t>18,01</t>
  </si>
  <si>
    <t>191,00</t>
  </si>
  <si>
    <t>13.241,00</t>
  </si>
  <si>
    <t>14/10/2021 15:28</t>
  </si>
  <si>
    <t>GFGC185.OC</t>
  </si>
  <si>
    <t>14,80</t>
  </si>
  <si>
    <t>14,15</t>
  </si>
  <si>
    <t>11.588,00</t>
  </si>
  <si>
    <t>14/10/2021 15:29</t>
  </si>
  <si>
    <t>GFGC190.OC</t>
  </si>
  <si>
    <t>8,90</t>
  </si>
  <si>
    <t>17.479,00</t>
  </si>
  <si>
    <t>GFGC160.OC</t>
  </si>
  <si>
    <t>39,00</t>
  </si>
  <si>
    <t>38,60</t>
  </si>
  <si>
    <t>39,90</t>
  </si>
  <si>
    <t>3.143,00</t>
  </si>
  <si>
    <t>14/10/2021 15:27</t>
  </si>
  <si>
    <t>GFGC170.OC</t>
  </si>
  <si>
    <t>210,00</t>
  </si>
  <si>
    <t>29,50</t>
  </si>
  <si>
    <t>160,00</t>
  </si>
  <si>
    <t>3.071,00</t>
  </si>
  <si>
    <t>GFGC155.OC</t>
  </si>
  <si>
    <t>43,80</t>
  </si>
  <si>
    <t>41,00</t>
  </si>
  <si>
    <t>44,50</t>
  </si>
  <si>
    <t>1.333,00</t>
  </si>
  <si>
    <t>14/10/2021 15:23</t>
  </si>
  <si>
    <t>GFGC195.OC</t>
  </si>
  <si>
    <t>20.153,00</t>
  </si>
  <si>
    <t>GFGC145.OC</t>
  </si>
  <si>
    <t>54,50</t>
  </si>
  <si>
    <t>188,00</t>
  </si>
  <si>
    <t>52,57</t>
  </si>
  <si>
    <t>54,45</t>
  </si>
  <si>
    <t>899,00</t>
  </si>
  <si>
    <t>GFGC150.OC</t>
  </si>
  <si>
    <t>47,90</t>
  </si>
  <si>
    <t>96,00</t>
  </si>
  <si>
    <t>47,51</t>
  </si>
  <si>
    <t>43,00</t>
  </si>
  <si>
    <t>657,00</t>
  </si>
  <si>
    <t>14/10/2021 15:15</t>
  </si>
  <si>
    <t>GFGC175.OC</t>
  </si>
  <si>
    <t>24,40</t>
  </si>
  <si>
    <t>1.048,00</t>
  </si>
  <si>
    <t>14/10/2021 15:02</t>
  </si>
  <si>
    <t>GFGV230.OC</t>
  </si>
  <si>
    <t>32,00</t>
  </si>
  <si>
    <t>30,10</t>
  </si>
  <si>
    <t>675,00</t>
  </si>
  <si>
    <t>14/10/2021 15:22</t>
  </si>
  <si>
    <t>GFGC165.OC</t>
  </si>
  <si>
    <t>32,65</t>
  </si>
  <si>
    <t>184,00</t>
  </si>
  <si>
    <t>34,80</t>
  </si>
  <si>
    <t>584,00</t>
  </si>
  <si>
    <t>14/10/2021 14:49</t>
  </si>
  <si>
    <t>GFGC19898O</t>
  </si>
  <si>
    <t>0,34</t>
  </si>
  <si>
    <t>32.383,00</t>
  </si>
  <si>
    <t>GFGC10998O</t>
  </si>
  <si>
    <t>89,00</t>
  </si>
  <si>
    <t>84,60</t>
  </si>
  <si>
    <t>89,99</t>
  </si>
  <si>
    <t>14/10/2021 14:55</t>
  </si>
  <si>
    <t>GFGC120.OC</t>
  </si>
  <si>
    <t>77,50</t>
  </si>
  <si>
    <t>75,20</t>
  </si>
  <si>
    <t>14/10/2021 14:02</t>
  </si>
  <si>
    <t>GFGV210.OC</t>
  </si>
  <si>
    <t>10,50</t>
  </si>
  <si>
    <t>457,00</t>
  </si>
  <si>
    <t>GFGC140.OC</t>
  </si>
  <si>
    <t>59,00</t>
  </si>
  <si>
    <t>58,15</t>
  </si>
  <si>
    <t>59,50</t>
  </si>
  <si>
    <t>91,00</t>
  </si>
  <si>
    <t>14/10/2021 15:26</t>
  </si>
  <si>
    <t>GFGV19898O</t>
  </si>
  <si>
    <t>0,26</t>
  </si>
  <si>
    <t>83,00</t>
  </si>
  <si>
    <t>2.332,00</t>
  </si>
  <si>
    <t>GFGC135.OC</t>
  </si>
  <si>
    <t>63,60</t>
  </si>
  <si>
    <t>61,00</t>
  </si>
  <si>
    <t>65,00</t>
  </si>
  <si>
    <t>14/10/2021 15:05</t>
  </si>
  <si>
    <t>GFGC129.OC</t>
  </si>
  <si>
    <t>70,50</t>
  </si>
  <si>
    <t>67,87</t>
  </si>
  <si>
    <t>14/10/2021 15:01</t>
  </si>
  <si>
    <t>GFGC123.OC</t>
  </si>
  <si>
    <t>75,00</t>
  </si>
  <si>
    <t>75,80</t>
  </si>
  <si>
    <t>26,00</t>
  </si>
  <si>
    <t>14/10/2021 14:22</t>
  </si>
  <si>
    <t>GFGC102.OC</t>
  </si>
  <si>
    <t>96,30</t>
  </si>
  <si>
    <t>95,00</t>
  </si>
  <si>
    <t>14/10/2021 15:11</t>
  </si>
  <si>
    <t>GFGV220.OC</t>
  </si>
  <si>
    <t>71,00</t>
  </si>
  <si>
    <t>14/10/2021 14:15</t>
  </si>
  <si>
    <t>GFGC117.OC</t>
  </si>
  <si>
    <t>82,50</t>
  </si>
  <si>
    <t>81,65</t>
  </si>
  <si>
    <t>GFGC114.OC</t>
  </si>
  <si>
    <t>83,80</t>
  </si>
  <si>
    <t>84,00</t>
  </si>
  <si>
    <t>14/10/2021 14:06</t>
  </si>
  <si>
    <t>GFGV195.OC</t>
  </si>
  <si>
    <t>598,00</t>
  </si>
  <si>
    <t>6.486,00</t>
  </si>
  <si>
    <t>GFGV240.OC</t>
  </si>
  <si>
    <t>41,20</t>
  </si>
  <si>
    <t>41,15</t>
  </si>
  <si>
    <t>14/10/2021 14:25</t>
  </si>
  <si>
    <t>GFGC126.OC</t>
  </si>
  <si>
    <t>72,00</t>
  </si>
  <si>
    <t>69,00</t>
  </si>
  <si>
    <t>GFGV190.OC</t>
  </si>
  <si>
    <t>912,00</t>
  </si>
  <si>
    <t>5.273,00</t>
  </si>
  <si>
    <t>14/10/2021 15:25</t>
  </si>
  <si>
    <t>GFGC210.OC</t>
  </si>
  <si>
    <t>7.247,00</t>
  </si>
  <si>
    <t>16.955,00</t>
  </si>
  <si>
    <t>GFGC220.OC</t>
  </si>
  <si>
    <t>1.001,00</t>
  </si>
  <si>
    <t>8.560,00</t>
  </si>
  <si>
    <t>GFGC280.OC</t>
  </si>
  <si>
    <t>1.400,00</t>
  </si>
  <si>
    <t>7.183,00</t>
  </si>
  <si>
    <t>GFGV185.OC</t>
  </si>
  <si>
    <t>121,00</t>
  </si>
  <si>
    <t>1.718,00</t>
  </si>
  <si>
    <t>14/10/2021 14:54</t>
  </si>
  <si>
    <t>GFGV180.OC</t>
  </si>
  <si>
    <t>105,00</t>
  </si>
  <si>
    <t>54,00</t>
  </si>
  <si>
    <t>2.219,00</t>
  </si>
  <si>
    <t>GFGC230.OC</t>
  </si>
  <si>
    <t>62,00</t>
  </si>
  <si>
    <t>256,00</t>
  </si>
  <si>
    <t>2.436,00</t>
  </si>
  <si>
    <t>14/10/2021 15:13</t>
  </si>
  <si>
    <t>GFGC270.OC</t>
  </si>
  <si>
    <t>128,00</t>
  </si>
  <si>
    <t>3.493,00</t>
  </si>
  <si>
    <t>14/10/2021 14:40</t>
  </si>
  <si>
    <t>GFGC300.OC</t>
  </si>
  <si>
    <t>1.550,00</t>
  </si>
  <si>
    <t>3.050,00</t>
  </si>
  <si>
    <t>GFGV150.OC</t>
  </si>
  <si>
    <t>1.300,00</t>
  </si>
  <si>
    <t>14/10/2021 13:56</t>
  </si>
  <si>
    <t>GFGV140.OC</t>
  </si>
  <si>
    <t>308,00</t>
  </si>
  <si>
    <t>14/10/2021 14:07</t>
  </si>
  <si>
    <t>GFGV165.OC</t>
  </si>
  <si>
    <t>14/10/2021 11:16</t>
  </si>
  <si>
    <t>GFGC260.OC</t>
  </si>
  <si>
    <t>557,00</t>
  </si>
  <si>
    <t>14/10/2021 14:39</t>
  </si>
  <si>
    <t>GFGC240.OC</t>
  </si>
  <si>
    <t>3.000,00</t>
  </si>
  <si>
    <t>148,00</t>
  </si>
  <si>
    <t>14/10/2021 15:17</t>
  </si>
  <si>
    <t>GFGV160.OC</t>
  </si>
  <si>
    <t>14/10/2021 14:57</t>
  </si>
  <si>
    <t>GFGV170.OC</t>
  </si>
  <si>
    <t>0,99</t>
  </si>
  <si>
    <t>788,00</t>
  </si>
  <si>
    <t>2.109,00</t>
  </si>
  <si>
    <t>13/10/2021 16:07</t>
  </si>
  <si>
    <t>GFGV175.OC</t>
  </si>
  <si>
    <t>144,00</t>
  </si>
  <si>
    <t>79,00</t>
  </si>
  <si>
    <t>1.312,00</t>
  </si>
  <si>
    <t>13/10/2021 16:46</t>
  </si>
  <si>
    <t>GFGV145.OC</t>
  </si>
  <si>
    <t>298,00</t>
  </si>
  <si>
    <t>1.036,00</t>
  </si>
  <si>
    <t>13/10/2021 16:58</t>
  </si>
  <si>
    <t>GFGV155.OC</t>
  </si>
  <si>
    <t>364,00</t>
  </si>
  <si>
    <t>13/10/2021 16:22</t>
  </si>
  <si>
    <t>GFGV135.OC</t>
  </si>
  <si>
    <t>956,00</t>
  </si>
  <si>
    <t>13/10/2021 15:50</t>
  </si>
  <si>
    <t>GFGC132.OC</t>
  </si>
  <si>
    <t>65,25</t>
  </si>
  <si>
    <t>64,70</t>
  </si>
  <si>
    <t>GFGC250.OC</t>
  </si>
  <si>
    <t>313,00</t>
  </si>
  <si>
    <t>1.632,00</t>
  </si>
  <si>
    <t>GFGV120.OC</t>
  </si>
  <si>
    <t>0,71</t>
  </si>
  <si>
    <t>1.500,00</t>
  </si>
  <si>
    <t>GFGV10998O</t>
  </si>
  <si>
    <t>0,60</t>
  </si>
  <si>
    <t>2.639,00</t>
  </si>
  <si>
    <t>GFGV99.0OC</t>
  </si>
  <si>
    <t>1.355,00</t>
  </si>
  <si>
    <r>
      <t>Calls</t>
    </r>
    <r>
      <rPr>
        <sz val="7"/>
        <rFont val="Arial"/>
        <family val="2"/>
      </rPr>
      <t>forDecember 17, 2021</t>
    </r>
  </si>
  <si>
    <t>FB211217C00150000</t>
  </si>
  <si>
    <t>2021-10-08 3:38PM EDT</t>
  </si>
  <si>
    <t>FB211217C00155000</t>
  </si>
  <si>
    <t>2021-10-14 9:30AM EDT</t>
  </si>
  <si>
    <t>FB211217C00160000</t>
  </si>
  <si>
    <t>2021-10-25 12:00PM EDT</t>
  </si>
  <si>
    <t>FB211217C00165000</t>
  </si>
  <si>
    <t>FB211217C00170000</t>
  </si>
  <si>
    <t>2021-10-08 10:00AM EDT</t>
  </si>
  <si>
    <t>FB211217C00175000</t>
  </si>
  <si>
    <t>2021-10-04 11:58AM EDT</t>
  </si>
  <si>
    <t>FB211217C00180000</t>
  </si>
  <si>
    <t>2021-10-08 9:39AM EDT</t>
  </si>
  <si>
    <t>FB211217C00185000</t>
  </si>
  <si>
    <t>2021-10-04 12:24PM EDT</t>
  </si>
  <si>
    <t>FB211217C00190000</t>
  </si>
  <si>
    <t>2021-10-04 12:09PM EDT</t>
  </si>
  <si>
    <t>FB211217C00195000</t>
  </si>
  <si>
    <t>2021-10-18 10:32AM EDT</t>
  </si>
  <si>
    <t>FB211217C00200000</t>
  </si>
  <si>
    <t>2021-10-22 11:25AM EDT</t>
  </si>
  <si>
    <t>FB211217C00205000</t>
  </si>
  <si>
    <t>2021-10-18 9:55AM EDT</t>
  </si>
  <si>
    <t>FB211217C00210000</t>
  </si>
  <si>
    <t>2021-10-08 9:36AM EDT</t>
  </si>
  <si>
    <t>FB211217C00215000</t>
  </si>
  <si>
    <t>2021-10-21 2:10PM EDT</t>
  </si>
  <si>
    <t>FB211217C00220000</t>
  </si>
  <si>
    <t>2021-10-22 3:58PM EDT</t>
  </si>
  <si>
    <t>FB211217C00225000</t>
  </si>
  <si>
    <t>2021-10-19 10:05AM EDT</t>
  </si>
  <si>
    <t>FB211217C00230000</t>
  </si>
  <si>
    <t>2021-10-22 9:49AM EDT</t>
  </si>
  <si>
    <t>FB211217C00235000</t>
  </si>
  <si>
    <t>2021-10-25 12:24PM EDT</t>
  </si>
  <si>
    <t>FB211217C00240000</t>
  </si>
  <si>
    <t>2021-10-22 3:59PM EDT</t>
  </si>
  <si>
    <t>FB211217C00245000</t>
  </si>
  <si>
    <t>FB211217C00250000</t>
  </si>
  <si>
    <t>2021-10-25 11:37AM EDT</t>
  </si>
  <si>
    <t>FB211217C00255000</t>
  </si>
  <si>
    <t>2021-10-18 2:38PM EDT</t>
  </si>
  <si>
    <t>FB211217C00260000</t>
  </si>
  <si>
    <t>2021-10-25 9:36AM EDT</t>
  </si>
  <si>
    <t>FB211217C00265000</t>
  </si>
  <si>
    <t>2021-10-22 2:33PM EDT</t>
  </si>
  <si>
    <t>FB211217C00270000</t>
  </si>
  <si>
    <t>2021-10-25 12:50PM EDT</t>
  </si>
  <si>
    <t>FB211217C00275000</t>
  </si>
  <si>
    <t>2021-10-22 11:46AM EDT</t>
  </si>
  <si>
    <t>FB211217C00280000</t>
  </si>
  <si>
    <t>2021-10-22 3:31PM EDT</t>
  </si>
  <si>
    <t>FB211217C00285000</t>
  </si>
  <si>
    <t>2021-10-22 1:03PM EDT</t>
  </si>
  <si>
    <t>FB211217C00290000</t>
  </si>
  <si>
    <t>2021-10-25 11:21AM EDT</t>
  </si>
  <si>
    <t>FB211217C00295000</t>
  </si>
  <si>
    <t>2021-10-25 12:54PM EDT</t>
  </si>
  <si>
    <t>FB211217C00300000</t>
  </si>
  <si>
    <t>2021-10-25 1:13PM EDT</t>
  </si>
  <si>
    <t>FB211217C00305000</t>
  </si>
  <si>
    <t>2021-10-25 1:31PM EDT</t>
  </si>
  <si>
    <t>FB211217C00310000</t>
  </si>
  <si>
    <t>FB211217C00315000</t>
  </si>
  <si>
    <t>2021-10-25 1:02PM EDT</t>
  </si>
  <si>
    <t>FB211217C00320000</t>
  </si>
  <si>
    <t>2021-10-25 1:32PM EDT</t>
  </si>
  <si>
    <t>FB211217C00325000</t>
  </si>
  <si>
    <t>FB211217C00330000</t>
  </si>
  <si>
    <t>2021-10-25 1:24PM EDT</t>
  </si>
  <si>
    <t>FB211217C00335000</t>
  </si>
  <si>
    <t>2021-10-25 1:30PM EDT</t>
  </si>
  <si>
    <t>FB211217C00340000</t>
  </si>
  <si>
    <t>2021-10-25 1:27PM EDT</t>
  </si>
  <si>
    <t>FB211217C00345000</t>
  </si>
  <si>
    <t>2021-10-25 1:36PM EDT</t>
  </si>
  <si>
    <t>FB211217C00350000</t>
  </si>
  <si>
    <t>FB211217C00355000</t>
  </si>
  <si>
    <t>2021-10-25 1:35PM EDT</t>
  </si>
  <si>
    <t>FB211217C00360000</t>
  </si>
  <si>
    <t>FB211217C00365000</t>
  </si>
  <si>
    <t>FB211217C00370000</t>
  </si>
  <si>
    <t>FB211217C00375000</t>
  </si>
  <si>
    <t>FB211217C00380000</t>
  </si>
  <si>
    <t>2021-10-25 1:23PM EDT</t>
  </si>
  <si>
    <t>FB211217C00385000</t>
  </si>
  <si>
    <t>2021-10-25 1:05PM EDT</t>
  </si>
  <si>
    <t>FB211217C00390000</t>
  </si>
  <si>
    <t>FB211217C00395000</t>
  </si>
  <si>
    <t>2021-10-25 1:34PM EDT</t>
  </si>
  <si>
    <t>FB211217C00400000</t>
  </si>
  <si>
    <t>FB211217C00405000</t>
  </si>
  <si>
    <t>2021-10-25 12:23PM EDT</t>
  </si>
  <si>
    <t>FB211217C00410000</t>
  </si>
  <si>
    <t>2021-10-25 11:07AM EDT</t>
  </si>
  <si>
    <t>FB211217C00415000</t>
  </si>
  <si>
    <t>FB211217C00420000</t>
  </si>
  <si>
    <t>2021-10-25 1:21PM EDT</t>
  </si>
  <si>
    <t>FB211217C00425000</t>
  </si>
  <si>
    <t>2021-10-25 11:35AM EDT</t>
  </si>
  <si>
    <t>FB211217C00430000</t>
  </si>
  <si>
    <t>2021-10-25 12:34PM EDT</t>
  </si>
  <si>
    <t>FB211217C00435000</t>
  </si>
  <si>
    <t>2021-10-22 2:24PM EDT</t>
  </si>
  <si>
    <t>FB211217C00440000</t>
  </si>
  <si>
    <t>FB211217C00445000</t>
  </si>
  <si>
    <t>2021-10-25 9:32AM EDT</t>
  </si>
  <si>
    <t>FB211217C00450000</t>
  </si>
  <si>
    <t>2021-10-22 2:59PM EDT</t>
  </si>
  <si>
    <t>FB211217C00455000</t>
  </si>
  <si>
    <t>2021-10-20 1:55PM EDT</t>
  </si>
  <si>
    <t>FB211217C00460000</t>
  </si>
  <si>
    <t>2021-10-20 3:11PM EDT</t>
  </si>
  <si>
    <t>FB211217C00465000</t>
  </si>
  <si>
    <t>2021-10-22 2:41PM EDT</t>
  </si>
  <si>
    <t>FB211217C00470000</t>
  </si>
  <si>
    <t>2021-10-25 11:55AM EDT</t>
  </si>
  <si>
    <t>FB211217C00475000</t>
  </si>
  <si>
    <t>2021-10-22 3:44PM EDT</t>
  </si>
  <si>
    <t>FB211217C00480000</t>
  </si>
  <si>
    <t>2021-10-22 12:31PM EDT</t>
  </si>
  <si>
    <t>FB211217C00485000</t>
  </si>
  <si>
    <t>2021-10-20 2:13PM EDT</t>
  </si>
  <si>
    <t>FB211217C00490000</t>
  </si>
  <si>
    <t>2021-10-25 9:37AM EDT</t>
  </si>
  <si>
    <t>FB211217C00495000</t>
  </si>
  <si>
    <t>2021-10-22 3:33PM EDT</t>
  </si>
  <si>
    <t>FB211217C00500000</t>
  </si>
  <si>
    <t>FB211217C00505000</t>
  </si>
  <si>
    <t>2021-10-20 9:41AM EDT</t>
  </si>
  <si>
    <t>FB211217C00510000</t>
  </si>
  <si>
    <t>2021-10-22 1:04PM EDT</t>
  </si>
  <si>
    <t>FB211217C00515000</t>
  </si>
  <si>
    <t>2021-10-22 10:24AM EDT</t>
  </si>
  <si>
    <t>FB211217C00520000</t>
  </si>
  <si>
    <t>2021-10-25 1:08PM EDT</t>
  </si>
  <si>
    <t>FB211217C00525000</t>
  </si>
  <si>
    <t>2021-10-19 3:25PM EDT</t>
  </si>
  <si>
    <t>FB211217C00530000</t>
  </si>
  <si>
    <t>2021-10-20 10:32AM EDT</t>
  </si>
  <si>
    <t>FB211217C00535000</t>
  </si>
  <si>
    <t>2021-10-22 3:12PM EDT</t>
  </si>
  <si>
    <t>FB211217C00540000</t>
  </si>
  <si>
    <t>2021-10-22 11:28AM EDT</t>
  </si>
  <si>
    <t>FB211217C00550000</t>
  </si>
  <si>
    <t>2021-10-19 1:16PM EDT</t>
  </si>
  <si>
    <t>FB211217C00560000</t>
  </si>
  <si>
    <t>2021-10-22 3:15PM EDT</t>
  </si>
  <si>
    <r>
      <t>Puts</t>
    </r>
    <r>
      <rPr>
        <sz val="7"/>
        <rFont val="Arial"/>
        <family val="2"/>
      </rPr>
      <t>forDecember 17, 2021</t>
    </r>
  </si>
  <si>
    <t>FB211217P00150000</t>
  </si>
  <si>
    <t>2021-10-25 12:36PM EDT</t>
  </si>
  <si>
    <t>FB211217P00155000</t>
  </si>
  <si>
    <t>2021-10-11 3:46PM EDT</t>
  </si>
  <si>
    <t>FB211217P00160000</t>
  </si>
  <si>
    <t>2021-10-25 12:25PM EDT</t>
  </si>
  <si>
    <t>FB211217P00165000</t>
  </si>
  <si>
    <t>2021-10-25 12:57PM EDT</t>
  </si>
  <si>
    <t>FB211217P00170000</t>
  </si>
  <si>
    <t>FB211217P00175000</t>
  </si>
  <si>
    <t>2021-10-25 1:17PM EDT</t>
  </si>
  <si>
    <t>FB211217P00180000</t>
  </si>
  <si>
    <t>2021-10-22 1:50PM EDT</t>
  </si>
  <si>
    <t>FB211217P00185000</t>
  </si>
  <si>
    <t>2021-10-25 12:31PM EDT</t>
  </si>
  <si>
    <t>FB211217P00190000</t>
  </si>
  <si>
    <t>2021-10-21 2:06PM EDT</t>
  </si>
  <si>
    <t>FB211217P00195000</t>
  </si>
  <si>
    <t>FB211217P00200000</t>
  </si>
  <si>
    <t>2021-10-25 1:25PM EDT</t>
  </si>
  <si>
    <t>FB211217P00205000</t>
  </si>
  <si>
    <t>2021-10-22 1:02PM EDT</t>
  </si>
  <si>
    <t>FB211217P00210000</t>
  </si>
  <si>
    <t>2021-10-22 1:49PM EDT</t>
  </si>
  <si>
    <t>FB211217P00215000</t>
  </si>
  <si>
    <t>2021-10-25 10:38AM EDT</t>
  </si>
  <si>
    <t>FB211217P00220000</t>
  </si>
  <si>
    <t>FB211217P00225000</t>
  </si>
  <si>
    <t>FB211217P00230000</t>
  </si>
  <si>
    <t>2021-10-25 12:18PM EDT</t>
  </si>
  <si>
    <t>FB211217P00235000</t>
  </si>
  <si>
    <t>FB211217P00240000</t>
  </si>
  <si>
    <t>FB211217P00245000</t>
  </si>
  <si>
    <t>2021-10-25 1:10PM EDT</t>
  </si>
  <si>
    <t>FB211217P00250000</t>
  </si>
  <si>
    <t>2021-10-25 1:28PM EDT</t>
  </si>
  <si>
    <t>FB211217P00255000</t>
  </si>
  <si>
    <t>FB211217P00260000</t>
  </si>
  <si>
    <t>2021-10-25 1:06PM EDT</t>
  </si>
  <si>
    <t>FB211217P00265000</t>
  </si>
  <si>
    <t>FB211217P00270000</t>
  </si>
  <si>
    <t>FB211217P00275000</t>
  </si>
  <si>
    <t>2021-10-25 1:22PM EDT</t>
  </si>
  <si>
    <t>FB211217P00280000</t>
  </si>
  <si>
    <t>2021-10-25 1:29PM EDT</t>
  </si>
  <si>
    <t>FB211217P00285000</t>
  </si>
  <si>
    <t>FB211217P00290000</t>
  </si>
  <si>
    <t>FB211217P00295000</t>
  </si>
  <si>
    <t>FB211217P00300000</t>
  </si>
  <si>
    <t>FB211217P00305000</t>
  </si>
  <si>
    <t>2021-10-25 1:16PM EDT</t>
  </si>
  <si>
    <t>FB211217P00310000</t>
  </si>
  <si>
    <t>FB211217P00315000</t>
  </si>
  <si>
    <t>FB211217P00320000</t>
  </si>
  <si>
    <t>FB211217P00325000</t>
  </si>
  <si>
    <t>FB211217P00330000</t>
  </si>
  <si>
    <t>2021-10-25 1:26PM EDT</t>
  </si>
  <si>
    <t>FB211217P00335000</t>
  </si>
  <si>
    <t>FB211217P00340000</t>
  </si>
  <si>
    <t>2021-10-25 12:38PM EDT</t>
  </si>
  <si>
    <t>FB211217P00345000</t>
  </si>
  <si>
    <t>2021-10-25 12:42PM EDT</t>
  </si>
  <si>
    <t>FB211217P00350000</t>
  </si>
  <si>
    <t>FB211217P00355000</t>
  </si>
  <si>
    <t>FB211217P00360000</t>
  </si>
  <si>
    <t>FB211217P00365000</t>
  </si>
  <si>
    <t>2021-10-22 11:30AM EDT</t>
  </si>
  <si>
    <t>FB211217P00370000</t>
  </si>
  <si>
    <t>FB211217P00375000</t>
  </si>
  <si>
    <t>2021-10-22 3:51PM EDT</t>
  </si>
  <si>
    <t>FB211217P00380000</t>
  </si>
  <si>
    <t>2021-10-25 12:52PM EDT</t>
  </si>
  <si>
    <t>FB211217P00385000</t>
  </si>
  <si>
    <t>2021-10-20 11:05AM EDT</t>
  </si>
  <si>
    <t>FB211217P00390000</t>
  </si>
  <si>
    <t>2021-10-20 9:30AM EDT</t>
  </si>
  <si>
    <t>FB211217P00395000</t>
  </si>
  <si>
    <t>2021-10-22 11:05AM EDT</t>
  </si>
  <si>
    <t>FB211217P00400000</t>
  </si>
  <si>
    <t>FB211217P00405000</t>
  </si>
  <si>
    <t>2021-10-11 10:15AM EDT</t>
  </si>
  <si>
    <t>FB211217P00410000</t>
  </si>
  <si>
    <t>2021-10-04 2:09PM EDT</t>
  </si>
  <si>
    <t>FB211217P00415000</t>
  </si>
  <si>
    <t>2021-10-12 10:02AM EDT</t>
  </si>
  <si>
    <t>FB211217P00420000</t>
  </si>
  <si>
    <t>FB211217P00425000</t>
  </si>
  <si>
    <t>2021-10-12 10:31AM EDT</t>
  </si>
  <si>
    <t>FB211217P00430000</t>
  </si>
  <si>
    <t>2021-10-19 12:19PM EDT</t>
  </si>
  <si>
    <t>FB211217P00435000</t>
  </si>
  <si>
    <t>2021-10-15 2:49PM EDT</t>
  </si>
  <si>
    <t>FB211217P00440000</t>
  </si>
  <si>
    <t>2021-10-21 10:59AM EDT</t>
  </si>
  <si>
    <t>FB211217P00445000</t>
  </si>
  <si>
    <t>2021-10-18 9:30AM EDT</t>
  </si>
  <si>
    <t>FB211217P00450000</t>
  </si>
  <si>
    <t>2021-10-08 3:44PM EDT</t>
  </si>
  <si>
    <t>FB211217P00455000</t>
  </si>
  <si>
    <t>2021-10-08 11:00AM EDT</t>
  </si>
  <si>
    <t>FB211217P00460000</t>
  </si>
  <si>
    <t>2021-10-22 9:46AM EDT</t>
  </si>
  <si>
    <t>FB211217P00465000</t>
  </si>
  <si>
    <t>2021-10-22 10:04AM EDT</t>
  </si>
  <si>
    <t>FB211217P00470000</t>
  </si>
  <si>
    <t>2021-10-22 9:39AM EDT</t>
  </si>
  <si>
    <t>FB211217P00475000</t>
  </si>
  <si>
    <t>2021-10-22 10:05AM EDT</t>
  </si>
  <si>
    <t>FB211217P00480000</t>
  </si>
  <si>
    <t>2021-10-25 10:15AM EDT</t>
  </si>
  <si>
    <t>FB211217P00485000</t>
  </si>
  <si>
    <t>2021-10-21 1:48PM EDT</t>
  </si>
  <si>
    <t>FB211217P00490000</t>
  </si>
  <si>
    <t>2021-09-21 2:23PM EDT</t>
  </si>
  <si>
    <t>FB211217P00495000</t>
  </si>
  <si>
    <t>2021-09-24 3:07PM EDT</t>
  </si>
  <si>
    <t>FB211217P00500000</t>
  </si>
  <si>
    <t>2021-09-20 9:46AM EDT</t>
  </si>
  <si>
    <t>FB211217P00510000</t>
  </si>
  <si>
    <t>2021-09-29 12:55PM EDT</t>
  </si>
  <si>
    <t>FB211217P00520000</t>
  </si>
  <si>
    <t>2021-09-17 2:27PM EDT</t>
  </si>
  <si>
    <t>FB211217P00540000</t>
  </si>
  <si>
    <t>2021-09-08 10:41AM EDT</t>
  </si>
  <si>
    <t>FB211217P00550000</t>
  </si>
  <si>
    <t>2021-09-08 10:31AM EDT</t>
  </si>
  <si>
    <t>16:00:00 CT</t>
  </si>
  <si>
    <t>320'7</t>
  </si>
  <si>
    <t>0'1</t>
  </si>
  <si>
    <t>08:22:21 CT</t>
  </si>
  <si>
    <t>300'7</t>
  </si>
  <si>
    <t>290'7</t>
  </si>
  <si>
    <t>UNCH (-)</t>
  </si>
  <si>
    <t>08:42:11 CT</t>
  </si>
  <si>
    <t>280'7</t>
  </si>
  <si>
    <t>270'7</t>
  </si>
  <si>
    <t>261'0</t>
  </si>
  <si>
    <t>0'2</t>
  </si>
  <si>
    <t>251'0</t>
  </si>
  <si>
    <t>241'0</t>
  </si>
  <si>
    <t>12:32:44 CT</t>
  </si>
  <si>
    <t>231'0</t>
  </si>
  <si>
    <t>221'1</t>
  </si>
  <si>
    <t>0'3</t>
  </si>
  <si>
    <t>211'1</t>
  </si>
  <si>
    <t>201'1</t>
  </si>
  <si>
    <t>-0'1 (-)</t>
  </si>
  <si>
    <t>0'4</t>
  </si>
  <si>
    <t>12:26:33 CT</t>
  </si>
  <si>
    <t>08:22:22 CT</t>
  </si>
  <si>
    <t>191'2</t>
  </si>
  <si>
    <t>08:45:52 CT</t>
  </si>
  <si>
    <t>181'3</t>
  </si>
  <si>
    <t>0'5</t>
  </si>
  <si>
    <t>12:27:29 CT</t>
  </si>
  <si>
    <t>171'3</t>
  </si>
  <si>
    <t>161'4</t>
  </si>
  <si>
    <t>0'6</t>
  </si>
  <si>
    <t>08:56:50 CT</t>
  </si>
  <si>
    <t>161'2</t>
  </si>
  <si>
    <t>151'5</t>
  </si>
  <si>
    <t>+9'5 (-)</t>
  </si>
  <si>
    <t>0'7</t>
  </si>
  <si>
    <t>08:52:15 CT</t>
  </si>
  <si>
    <t>149'2</t>
  </si>
  <si>
    <t>141'6</t>
  </si>
  <si>
    <t>+7'4 (-)</t>
  </si>
  <si>
    <t>1'0</t>
  </si>
  <si>
    <t>139'3</t>
  </si>
  <si>
    <t>132'0</t>
  </si>
  <si>
    <t>+7'3 (-)</t>
  </si>
  <si>
    <t>1'2</t>
  </si>
  <si>
    <t>11:57:26 CT</t>
  </si>
  <si>
    <t>08:40:47 CT</t>
  </si>
  <si>
    <t>133'3</t>
  </si>
  <si>
    <t>122'1</t>
  </si>
  <si>
    <t>+11'2 (-)</t>
  </si>
  <si>
    <t>1'3</t>
  </si>
  <si>
    <t>12:05:39 CT</t>
  </si>
  <si>
    <t>09:35:41 CT</t>
  </si>
  <si>
    <t>123'3</t>
  </si>
  <si>
    <t>112'3</t>
  </si>
  <si>
    <t>+11'0 (-)</t>
  </si>
  <si>
    <t>-0'3 (-)</t>
  </si>
  <si>
    <t>1'5</t>
  </si>
  <si>
    <t>12:14:52 CT</t>
  </si>
  <si>
    <t>102'6</t>
  </si>
  <si>
    <t>1'4</t>
  </si>
  <si>
    <t>-0'4 (-)</t>
  </si>
  <si>
    <t>2'0</t>
  </si>
  <si>
    <t>10:17:06 CT</t>
  </si>
  <si>
    <t>103'5</t>
  </si>
  <si>
    <t>93'2</t>
  </si>
  <si>
    <t>+10'3 (-)</t>
  </si>
  <si>
    <t>1'6</t>
  </si>
  <si>
    <t>-0'6 (-)</t>
  </si>
  <si>
    <t>2'4</t>
  </si>
  <si>
    <t>11:56:46 CT</t>
  </si>
  <si>
    <t>84'0</t>
  </si>
  <si>
    <t>2'3</t>
  </si>
  <si>
    <t>-0'7 (-)</t>
  </si>
  <si>
    <t>3'2</t>
  </si>
  <si>
    <t>3'1</t>
  </si>
  <si>
    <t>12:14:36 CT</t>
  </si>
  <si>
    <t>74'7</t>
  </si>
  <si>
    <t>3'0</t>
  </si>
  <si>
    <t>-1'1 (-)</t>
  </si>
  <si>
    <t>4'1</t>
  </si>
  <si>
    <t>10:07:06 CT</t>
  </si>
  <si>
    <t>08:33:38 CT</t>
  </si>
  <si>
    <t>73'6</t>
  </si>
  <si>
    <t>66'1</t>
  </si>
  <si>
    <t>+7'5 (-)</t>
  </si>
  <si>
    <t>4'0</t>
  </si>
  <si>
    <t>-1'3 (-)</t>
  </si>
  <si>
    <t>5'3</t>
  </si>
  <si>
    <t>4'3</t>
  </si>
  <si>
    <t>12:15:07 CT</t>
  </si>
  <si>
    <t>08:34:00 CT</t>
  </si>
  <si>
    <t>65'4</t>
  </si>
  <si>
    <t>57'7</t>
  </si>
  <si>
    <t>4'6</t>
  </si>
  <si>
    <t>-2'3 (-)</t>
  </si>
  <si>
    <t>7'1</t>
  </si>
  <si>
    <t>5'6</t>
  </si>
  <si>
    <t>12:15:59 CT</t>
  </si>
  <si>
    <t>08:52:18 CT</t>
  </si>
  <si>
    <t>56'3</t>
  </si>
  <si>
    <t>50'1</t>
  </si>
  <si>
    <t>+6'2 (-)</t>
  </si>
  <si>
    <t>6'3</t>
  </si>
  <si>
    <t>-3'0 (-)</t>
  </si>
  <si>
    <t>9'3</t>
  </si>
  <si>
    <t>9'7</t>
  </si>
  <si>
    <t>12:47:16 CT</t>
  </si>
  <si>
    <t>09:27:52 CT</t>
  </si>
  <si>
    <t>42'7</t>
  </si>
  <si>
    <t>8'0</t>
  </si>
  <si>
    <t>-4'1 (-)</t>
  </si>
  <si>
    <t>12'1</t>
  </si>
  <si>
    <t>12'0</t>
  </si>
  <si>
    <t>12:47:09 CT</t>
  </si>
  <si>
    <t>12:46:40 CT</t>
  </si>
  <si>
    <t>44'6</t>
  </si>
  <si>
    <t>40'1</t>
  </si>
  <si>
    <t>36'2</t>
  </si>
  <si>
    <t>+8'4 (-)</t>
  </si>
  <si>
    <t>10'6</t>
  </si>
  <si>
    <t>-4'6 (-)</t>
  </si>
  <si>
    <t>15'4</t>
  </si>
  <si>
    <t>12'6</t>
  </si>
  <si>
    <t>12:23:10 CT</t>
  </si>
  <si>
    <t>11:40:12 CT</t>
  </si>
  <si>
    <t>28'7</t>
  </si>
  <si>
    <t>27'5</t>
  </si>
  <si>
    <t>30'2</t>
  </si>
  <si>
    <t>13'7</t>
  </si>
  <si>
    <t>-5'5 (-)</t>
  </si>
  <si>
    <t>19'4</t>
  </si>
  <si>
    <t>13'5</t>
  </si>
  <si>
    <t>20'0</t>
  </si>
  <si>
    <t>12:45:37 CT</t>
  </si>
  <si>
    <t>12:35:51 CT</t>
  </si>
  <si>
    <t>31'1</t>
  </si>
  <si>
    <t>22'7</t>
  </si>
  <si>
    <t>25'0</t>
  </si>
  <si>
    <t>+6'1 (-)</t>
  </si>
  <si>
    <t>17'4</t>
  </si>
  <si>
    <t>-6'6 (-)</t>
  </si>
  <si>
    <t>24'2</t>
  </si>
  <si>
    <t>17'3</t>
  </si>
  <si>
    <t>24'7</t>
  </si>
  <si>
    <t>12:31:06 CT</t>
  </si>
  <si>
    <t>12:14:30 CT</t>
  </si>
  <si>
    <t>26'6</t>
  </si>
  <si>
    <t>18'1</t>
  </si>
  <si>
    <t>20'2</t>
  </si>
  <si>
    <t>+5'2 (-)</t>
  </si>
  <si>
    <t>23'2</t>
  </si>
  <si>
    <t>-6'2 (-)</t>
  </si>
  <si>
    <t>29'4</t>
  </si>
  <si>
    <t>21'7</t>
  </si>
  <si>
    <t>25'3</t>
  </si>
  <si>
    <t>12:45:46 CT</t>
  </si>
  <si>
    <t>21'6</t>
  </si>
  <si>
    <t>19'1</t>
  </si>
  <si>
    <t>16'2</t>
  </si>
  <si>
    <t>+4'6 (-)</t>
  </si>
  <si>
    <t>27'0</t>
  </si>
  <si>
    <t>-8'4 (-)</t>
  </si>
  <si>
    <t>35'4</t>
  </si>
  <si>
    <t>29'7</t>
  </si>
  <si>
    <t>10:00:37 CT</t>
  </si>
  <si>
    <t>12:47:06 CT</t>
  </si>
  <si>
    <t>11'5</t>
  </si>
  <si>
    <t>12'7</t>
  </si>
  <si>
    <t>+4'1 (-)</t>
  </si>
  <si>
    <t>35'7</t>
  </si>
  <si>
    <t>42'1</t>
  </si>
  <si>
    <t>12:34:49 CT</t>
  </si>
  <si>
    <t>13'2</t>
  </si>
  <si>
    <t>10'3</t>
  </si>
  <si>
    <t>10'1</t>
  </si>
  <si>
    <t>+2'7 (-)</t>
  </si>
  <si>
    <t>49'3</t>
  </si>
  <si>
    <t>12:34:48 CT</t>
  </si>
  <si>
    <t>12:38:56 CT</t>
  </si>
  <si>
    <t>8'6</t>
  </si>
  <si>
    <t>7'7</t>
  </si>
  <si>
    <t>+2'1 (-)</t>
  </si>
  <si>
    <t>46'4</t>
  </si>
  <si>
    <t>-10'5 (-)</t>
  </si>
  <si>
    <t>57'1</t>
  </si>
  <si>
    <t>50'2</t>
  </si>
  <si>
    <t>8'1</t>
  </si>
  <si>
    <t>6'6</t>
  </si>
  <si>
    <t>6'1</t>
  </si>
  <si>
    <t>+0'7 (-)</t>
  </si>
  <si>
    <t>65'3</t>
  </si>
  <si>
    <t>6'2</t>
  </si>
  <si>
    <t>4'4</t>
  </si>
  <si>
    <t>+1'1 (-)</t>
  </si>
  <si>
    <t>63'7</t>
  </si>
  <si>
    <t>-10'1 (-)</t>
  </si>
  <si>
    <t>74'0</t>
  </si>
  <si>
    <t>09:56:34 CT</t>
  </si>
  <si>
    <t>11:22:21 CT</t>
  </si>
  <si>
    <t>5'0</t>
  </si>
  <si>
    <t>4'2</t>
  </si>
  <si>
    <t>3'5</t>
  </si>
  <si>
    <t>73'1</t>
  </si>
  <si>
    <t>-9'6 (-)</t>
  </si>
  <si>
    <t>82'7</t>
  </si>
  <si>
    <t>12:40:36 CT</t>
  </si>
  <si>
    <t>3'4</t>
  </si>
  <si>
    <t>2'7</t>
  </si>
  <si>
    <t>+0'5 (-)</t>
  </si>
  <si>
    <t>92'1</t>
  </si>
  <si>
    <t>12:46:47 CT</t>
  </si>
  <si>
    <t>2'2</t>
  </si>
  <si>
    <t>+0'4 (-)</t>
  </si>
  <si>
    <t>93'4</t>
  </si>
  <si>
    <t>-8'0 (-)</t>
  </si>
  <si>
    <t>101'4</t>
  </si>
  <si>
    <t>91'7</t>
  </si>
  <si>
    <t>11:56:09 CT</t>
  </si>
  <si>
    <t>2'1</t>
  </si>
  <si>
    <t>1'7</t>
  </si>
  <si>
    <t>+0'2 (-)</t>
  </si>
  <si>
    <t>111'1</t>
  </si>
  <si>
    <t>120'6</t>
  </si>
  <si>
    <t>130'4</t>
  </si>
  <si>
    <t>09:59:24 CT</t>
  </si>
  <si>
    <t>1'1</t>
  </si>
  <si>
    <t>140'3</t>
  </si>
  <si>
    <t>+0'1 (-)</t>
  </si>
  <si>
    <t>150'1</t>
  </si>
  <si>
    <t>10:17:04 CT</t>
  </si>
  <si>
    <t>160'0</t>
  </si>
  <si>
    <t>09:15:06 CT</t>
  </si>
  <si>
    <t>160'1</t>
  </si>
  <si>
    <t>-9'7 (-)</t>
  </si>
  <si>
    <t>170'0</t>
  </si>
  <si>
    <t>168'4</t>
  </si>
  <si>
    <t>-11'3 (-)</t>
  </si>
  <si>
    <t>179'7</t>
  </si>
  <si>
    <t>189'6</t>
  </si>
  <si>
    <t>199'6</t>
  </si>
  <si>
    <t>209'5</t>
  </si>
  <si>
    <t>219'5</t>
  </si>
  <si>
    <t>229'5</t>
  </si>
  <si>
    <t>239'5</t>
  </si>
  <si>
    <t>09:14:38 CT</t>
  </si>
  <si>
    <t>249'4</t>
  </si>
  <si>
    <t>259'4</t>
  </si>
  <si>
    <t>269'4</t>
  </si>
  <si>
    <t>279'4</t>
  </si>
  <si>
    <t>289'4</t>
  </si>
  <si>
    <t>299'4</t>
  </si>
  <si>
    <t>309'4</t>
  </si>
  <si>
    <t>319'4</t>
  </si>
  <si>
    <t>329'4</t>
  </si>
  <si>
    <t>339'4</t>
  </si>
  <si>
    <t>349'4</t>
  </si>
  <si>
    <t>359'4</t>
  </si>
  <si>
    <t>369'3</t>
  </si>
  <si>
    <t>379'3</t>
  </si>
  <si>
    <t>389'3</t>
  </si>
  <si>
    <t>399'3</t>
  </si>
  <si>
    <t>08:36:47 CT</t>
  </si>
  <si>
    <t>409'3</t>
  </si>
  <si>
    <t>419'3</t>
  </si>
  <si>
    <t>429'3</t>
  </si>
  <si>
    <t>STRIKE</t>
  </si>
  <si>
    <t>PRICE</t>
  </si>
  <si>
    <t>Ene 2022</t>
  </si>
  <si>
    <t>Soybean 2022</t>
  </si>
  <si>
    <t>Vol C</t>
  </si>
  <si>
    <t>Cierre</t>
  </si>
  <si>
    <t>Vol Imp</t>
  </si>
  <si>
    <t>Vol V</t>
  </si>
  <si>
    <t>Var %</t>
  </si>
  <si>
    <t>Vol Op</t>
  </si>
  <si>
    <t>I.I</t>
  </si>
  <si>
    <t>Delta</t>
  </si>
  <si>
    <t>Vol C2</t>
  </si>
  <si>
    <t>Vol V5</t>
  </si>
  <si>
    <t>Var %7</t>
  </si>
  <si>
    <t>Vol Op8</t>
  </si>
  <si>
    <t>Cierre9</t>
  </si>
  <si>
    <t>Vol Imp10</t>
  </si>
  <si>
    <t>I.I11</t>
  </si>
  <si>
    <t>Delta12</t>
  </si>
  <si>
    <t>SOJ.ROSEne22</t>
  </si>
  <si>
    <t>AVG</t>
  </si>
  <si>
    <t>SYN.BTC-31DIC21</t>
  </si>
  <si>
    <t>2020 :)</t>
  </si>
  <si>
    <t>31 de Diciembre 2021</t>
  </si>
  <si>
    <t>https://www.deribit.com/main#/options?tab=BTC-27DEC21</t>
  </si>
  <si>
    <t>Bid2</t>
  </si>
  <si>
    <t>Ask2</t>
  </si>
  <si>
    <t>Last2</t>
  </si>
  <si>
    <t>Strike vs Last CALLS (L vs E) y Strike vs Last PUTS (L vs Q)</t>
  </si>
  <si>
    <t>Strike vs Last CALLS (H vs G) y Strike vs Last PUTS (H vs I)</t>
  </si>
  <si>
    <t>Strike vs Last CALLS (C vs D) y Strike vs Last PUTS (C vs D) -mas abajo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</si>
</sst>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3" formatCode="_(* #,##0.00_);_(* \(#,##0.00\);_(* &quot;-&quot;??_);_(@_)"/>
    <numFmt numFmtId="164" formatCode="0.0000"/>
  </numFmts>
  <fonts count="3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7"/>
      <color rgb="FF5B636A"/>
      <name val="Arial"/>
      <family val="2"/>
    </font>
    <font>
      <sz val="10"/>
      <color rgb="FF00873C"/>
      <name val="Arial"/>
      <family val="2"/>
    </font>
    <font>
      <sz val="10"/>
      <color rgb="FFEB0F29"/>
      <name val="Arial"/>
      <family val="2"/>
    </font>
    <font>
      <b/>
      <sz val="7"/>
      <color rgb="FF003366"/>
      <name val="Arial"/>
      <family val="2"/>
    </font>
    <font>
      <sz val="8"/>
      <color rgb="FF212121"/>
      <name val="Arial"/>
      <family val="2"/>
    </font>
    <font>
      <sz val="8"/>
      <color rgb="FF3498DA"/>
      <name val="Arial"/>
      <family val="2"/>
    </font>
    <font>
      <sz val="7"/>
      <color rgb="FF14AF30"/>
      <name val="Arial"/>
      <family val="2"/>
    </font>
    <font>
      <sz val="7"/>
      <color rgb="FFE04545"/>
      <name val="Arial"/>
      <family val="2"/>
    </font>
    <font>
      <sz val="8"/>
      <color rgb="FF3D3C3C"/>
      <name val="Arial"/>
      <family val="2"/>
    </font>
    <font>
      <b/>
      <sz val="10"/>
      <color rgb="FF000000"/>
      <name val="Arial"/>
      <family val="2"/>
    </font>
    <font>
      <sz val="8"/>
      <color rgb="FFFFFFFF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CD"/>
      <name val="Arial"/>
      <family val="2"/>
    </font>
    <font>
      <b/>
      <sz val="8"/>
      <color rgb="FF008000"/>
      <name val="Arial"/>
      <family val="2"/>
    </font>
    <font>
      <sz val="8"/>
      <color rgb="FF070791"/>
      <name val="Arial"/>
      <family val="2"/>
    </font>
    <font>
      <b/>
      <sz val="8"/>
      <color rgb="FF0000CD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sz val="6"/>
      <color rgb="FF5B636A"/>
      <name val="Arial"/>
      <family val="2"/>
    </font>
    <font>
      <sz val="6"/>
      <color rgb="FF5B636A"/>
      <name val="Arial"/>
      <family val="2"/>
    </font>
    <font>
      <sz val="8"/>
      <color rgb="FF25323C"/>
      <name val="Roboto-Mono-Regular"/>
    </font>
    <font>
      <sz val="8"/>
      <color rgb="FFFFFFFF"/>
      <name val="Roboto-Mono-Regular"/>
    </font>
    <font>
      <sz val="8"/>
      <color rgb="FFFF0000"/>
      <name val="Roboto-Mono-Regular"/>
    </font>
    <font>
      <sz val="8"/>
      <color rgb="FF008000"/>
      <name val="Roboto-Mono-Regular"/>
    </font>
    <font>
      <sz val="8"/>
      <color rgb="FFE3E935"/>
      <name val="Roboto-Mono-Regular"/>
    </font>
    <font>
      <sz val="10"/>
      <color rgb="FFC2CACE"/>
      <name val="Averta-Regular"/>
    </font>
    <font>
      <sz val="10"/>
      <color rgb="FF25323C"/>
      <name val="Roboto-Mono-Regular"/>
    </font>
    <font>
      <sz val="10"/>
      <color rgb="FFFFFFFF"/>
      <name val="Roboto-Mono-Regular"/>
    </font>
    <font>
      <sz val="7"/>
      <color rgb="FF3D3C3C"/>
      <name val="Lato"/>
      <family val="2"/>
    </font>
    <font>
      <b/>
      <sz val="7"/>
      <color rgb="FF3D3C3C"/>
      <name val="Lato"/>
      <family val="2"/>
    </font>
    <font>
      <sz val="7"/>
      <color rgb="FF3D3C3C"/>
      <name val="Lato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0F0FF"/>
        <bgColor indexed="64"/>
      </patternFill>
    </fill>
    <fill>
      <patternFill patternType="solid">
        <fgColor rgb="FF112B4A"/>
        <bgColor indexed="64"/>
      </patternFill>
    </fill>
    <fill>
      <patternFill patternType="solid">
        <fgColor rgb="FFF1F5F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1F3655"/>
        <bgColor indexed="64"/>
      </patternFill>
    </fill>
    <fill>
      <patternFill patternType="solid">
        <fgColor rgb="FFEBF9FF"/>
        <bgColor indexed="64"/>
      </patternFill>
    </fill>
    <fill>
      <patternFill patternType="solid">
        <fgColor rgb="FF354A66"/>
        <bgColor indexed="64"/>
      </patternFill>
    </fill>
    <fill>
      <patternFill patternType="solid">
        <fgColor rgb="FF081D37"/>
        <bgColor indexed="64"/>
      </patternFill>
    </fill>
    <fill>
      <patternFill patternType="solid">
        <fgColor rgb="FF25323C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rgb="FFE0E4E9"/>
      </top>
      <bottom/>
      <diagonal/>
    </border>
    <border>
      <left style="medium">
        <color rgb="FFC2CACE"/>
      </left>
      <right style="medium">
        <color rgb="FFC2CACE"/>
      </right>
      <top style="medium">
        <color rgb="FFC2CACE"/>
      </top>
      <bottom style="medium">
        <color rgb="FFC2CACE"/>
      </bottom>
      <diagonal/>
    </border>
    <border>
      <left/>
      <right/>
      <top style="medium">
        <color rgb="FFC2CACE"/>
      </top>
      <bottom style="medium">
        <color rgb="FFC2CACE"/>
      </bottom>
      <diagonal/>
    </border>
    <border>
      <left style="medium">
        <color rgb="FFC2CACE"/>
      </left>
      <right/>
      <top style="medium">
        <color rgb="FFC2CACE"/>
      </top>
      <bottom style="medium">
        <color rgb="FFC2CACE"/>
      </bottom>
      <diagonal/>
    </border>
    <border>
      <left/>
      <right style="medium">
        <color rgb="FFC2CACE"/>
      </right>
      <top style="medium">
        <color rgb="FFC2CACE"/>
      </top>
      <bottom style="medium">
        <color rgb="FFC2CACE"/>
      </bottom>
      <diagonal/>
    </border>
    <border>
      <left style="medium">
        <color rgb="FFC2CACE"/>
      </left>
      <right style="medium">
        <color rgb="FFC2CACE"/>
      </right>
      <top style="medium">
        <color rgb="FFC2CACE"/>
      </top>
      <bottom/>
      <diagonal/>
    </border>
    <border>
      <left style="medium">
        <color rgb="FFC2CACE"/>
      </left>
      <right style="medium">
        <color rgb="FFC2CACE"/>
      </right>
      <top/>
      <bottom style="medium">
        <color rgb="FFC2CACE"/>
      </bottom>
      <diagonal/>
    </border>
    <border>
      <left/>
      <right/>
      <top style="medium">
        <color rgb="FFEFEFEF"/>
      </top>
      <bottom/>
      <diagonal/>
    </border>
    <border>
      <left/>
      <right/>
      <top/>
      <bottom style="medium">
        <color rgb="FFEFEFEF"/>
      </bottom>
      <diagonal/>
    </border>
    <border>
      <left/>
      <right/>
      <top/>
      <bottom style="medium">
        <color rgb="FFC2CACE"/>
      </bottom>
      <diagonal/>
    </border>
    <border>
      <left/>
      <right style="medium">
        <color rgb="FFC2CACE"/>
      </right>
      <top/>
      <bottom/>
      <diagonal/>
    </border>
    <border>
      <left/>
      <right style="medium">
        <color rgb="FFC2CACE"/>
      </right>
      <top/>
      <bottom style="medium">
        <color rgb="FFC2CACE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1" fillId="0" borderId="0"/>
    <xf numFmtId="43" fontId="1" fillId="0" borderId="0" applyFont="0" applyFill="0" applyBorder="0" applyAlignment="0" applyProtection="0"/>
    <xf numFmtId="0" fontId="3" fillId="0" borderId="0">
      <alignment horizontal="left" wrapText="1"/>
    </xf>
    <xf numFmtId="0" fontId="1" fillId="0" borderId="0"/>
  </cellStyleXfs>
  <cellXfs count="112">
    <xf numFmtId="0" fontId="0" fillId="0" borderId="0" xfId="0"/>
    <xf numFmtId="0" fontId="3" fillId="2" borderId="0" xfId="0" applyFont="1" applyFill="1"/>
    <xf numFmtId="0" fontId="0" fillId="2" borderId="0" xfId="0" applyFill="1"/>
    <xf numFmtId="0" fontId="2" fillId="2" borderId="0" xfId="1" applyFill="1" applyAlignment="1" applyProtection="1"/>
    <xf numFmtId="0" fontId="2" fillId="4" borderId="1" xfId="1" applyFill="1" applyBorder="1" applyAlignment="1" applyProtection="1">
      <alignment horizontal="left" vertical="center" wrapText="1"/>
    </xf>
    <xf numFmtId="0" fontId="2" fillId="4" borderId="1" xfId="1" applyFill="1" applyBorder="1" applyAlignment="1" applyProtection="1">
      <alignment horizontal="right" vertical="center" wrapText="1"/>
    </xf>
    <xf numFmtId="22" fontId="0" fillId="0" borderId="0" xfId="0" applyNumberFormat="1"/>
    <xf numFmtId="0" fontId="3" fillId="7" borderId="0" xfId="0" applyFont="1" applyFill="1"/>
    <xf numFmtId="0" fontId="4" fillId="0" borderId="0" xfId="0" applyFont="1" applyAlignment="1">
      <alignment horizontal="right" wrapText="1"/>
    </xf>
    <xf numFmtId="0" fontId="3" fillId="4" borderId="1" xfId="0" applyFont="1" applyFill="1" applyBorder="1" applyAlignment="1">
      <alignment horizontal="right" vertical="center" wrapText="1"/>
    </xf>
    <xf numFmtId="0" fontId="5" fillId="4" borderId="1" xfId="0" applyFont="1" applyFill="1" applyBorder="1" applyAlignment="1">
      <alignment horizontal="right" vertical="center" wrapText="1"/>
    </xf>
    <xf numFmtId="10" fontId="5" fillId="4" borderId="1" xfId="0" applyNumberFormat="1" applyFont="1" applyFill="1" applyBorder="1" applyAlignment="1">
      <alignment horizontal="right" vertical="center" wrapText="1"/>
    </xf>
    <xf numFmtId="10" fontId="3" fillId="4" borderId="1" xfId="0" applyNumberFormat="1" applyFont="1" applyFill="1" applyBorder="1" applyAlignment="1">
      <alignment horizontal="right" vertical="center" wrapText="1"/>
    </xf>
    <xf numFmtId="0" fontId="6" fillId="4" borderId="1" xfId="0" applyFont="1" applyFill="1" applyBorder="1" applyAlignment="1">
      <alignment horizontal="right" vertical="center" wrapText="1"/>
    </xf>
    <xf numFmtId="10" fontId="6" fillId="4" borderId="1" xfId="0" applyNumberFormat="1" applyFont="1" applyFill="1" applyBorder="1" applyAlignment="1">
      <alignment horizontal="right" vertical="center" wrapText="1"/>
    </xf>
    <xf numFmtId="3" fontId="3" fillId="4" borderId="1" xfId="0" applyNumberFormat="1" applyFont="1" applyFill="1" applyBorder="1" applyAlignment="1">
      <alignment horizontal="right" vertical="center" wrapText="1"/>
    </xf>
    <xf numFmtId="0" fontId="2" fillId="0" borderId="1" xfId="1" applyBorder="1" applyAlignment="1" applyProtection="1">
      <alignment horizontal="left" vertical="center" wrapText="1"/>
    </xf>
    <xf numFmtId="0" fontId="3" fillId="0" borderId="1" xfId="0" applyFont="1" applyBorder="1" applyAlignment="1">
      <alignment horizontal="right" vertical="center" wrapText="1"/>
    </xf>
    <xf numFmtId="0" fontId="2" fillId="0" borderId="1" xfId="1" applyBorder="1" applyAlignment="1" applyProtection="1">
      <alignment horizontal="right" vertical="center" wrapText="1"/>
    </xf>
    <xf numFmtId="0" fontId="5" fillId="0" borderId="1" xfId="0" applyFont="1" applyBorder="1" applyAlignment="1">
      <alignment horizontal="right" vertical="center" wrapText="1"/>
    </xf>
    <xf numFmtId="10" fontId="5" fillId="0" borderId="1" xfId="0" applyNumberFormat="1" applyFont="1" applyBorder="1" applyAlignment="1">
      <alignment horizontal="right" vertical="center" wrapText="1"/>
    </xf>
    <xf numFmtId="3" fontId="3" fillId="0" borderId="1" xfId="0" applyNumberFormat="1" applyFont="1" applyBorder="1" applyAlignment="1">
      <alignment horizontal="right" vertical="center" wrapText="1"/>
    </xf>
    <xf numFmtId="10" fontId="3" fillId="0" borderId="1" xfId="0" applyNumberFormat="1" applyFont="1" applyBorder="1" applyAlignment="1">
      <alignment horizontal="right" vertical="center" wrapText="1"/>
    </xf>
    <xf numFmtId="0" fontId="6" fillId="0" borderId="1" xfId="0" applyFont="1" applyBorder="1" applyAlignment="1">
      <alignment horizontal="right" vertical="center" wrapText="1"/>
    </xf>
    <xf numFmtId="10" fontId="6" fillId="0" borderId="1" xfId="0" applyNumberFormat="1" applyFont="1" applyBorder="1" applyAlignment="1">
      <alignment horizontal="right" vertical="center" wrapText="1"/>
    </xf>
    <xf numFmtId="10" fontId="0" fillId="0" borderId="0" xfId="0" applyNumberFormat="1"/>
    <xf numFmtId="8" fontId="0" fillId="0" borderId="0" xfId="0" applyNumberFormat="1"/>
    <xf numFmtId="0" fontId="3" fillId="0" borderId="0" xfId="0" applyFont="1"/>
    <xf numFmtId="0" fontId="7" fillId="3" borderId="0" xfId="0" applyFont="1" applyFill="1" applyAlignment="1">
      <alignment horizontal="center" vertical="center" wrapText="1"/>
    </xf>
    <xf numFmtId="0" fontId="10" fillId="8" borderId="0" xfId="0" applyFont="1" applyFill="1" applyAlignment="1">
      <alignment horizontal="center" vertical="center" wrapText="1"/>
    </xf>
    <xf numFmtId="9" fontId="9" fillId="8" borderId="8" xfId="0" applyNumberFormat="1" applyFont="1" applyFill="1" applyBorder="1" applyAlignment="1">
      <alignment horizontal="center" vertical="center" wrapText="1"/>
    </xf>
    <xf numFmtId="0" fontId="11" fillId="8" borderId="0" xfId="0" applyFont="1" applyFill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3" fontId="12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2" fillId="0" borderId="0" xfId="0" applyFont="1"/>
    <xf numFmtId="16" fontId="3" fillId="0" borderId="0" xfId="0" applyNumberFormat="1" applyFont="1"/>
    <xf numFmtId="0" fontId="8" fillId="8" borderId="8" xfId="0" applyFont="1" applyFill="1" applyBorder="1" applyAlignment="1">
      <alignment horizontal="center" vertical="center" wrapText="1"/>
    </xf>
    <xf numFmtId="0" fontId="8" fillId="8" borderId="9" xfId="0" applyFont="1" applyFill="1" applyBorder="1" applyAlignment="1">
      <alignment horizontal="center" vertical="center" wrapText="1"/>
    </xf>
    <xf numFmtId="0" fontId="2" fillId="8" borderId="8" xfId="1" applyFill="1" applyBorder="1" applyAlignment="1" applyProtection="1">
      <alignment horizontal="center" vertical="center" wrapText="1"/>
    </xf>
    <xf numFmtId="0" fontId="2" fillId="8" borderId="9" xfId="1" applyFill="1" applyBorder="1" applyAlignment="1" applyProtection="1">
      <alignment horizontal="center" vertical="center" wrapText="1"/>
    </xf>
    <xf numFmtId="0" fontId="9" fillId="8" borderId="8" xfId="0" applyFont="1" applyFill="1" applyBorder="1" applyAlignment="1">
      <alignment horizontal="center" vertical="center" wrapText="1"/>
    </xf>
    <xf numFmtId="0" fontId="9" fillId="8" borderId="9" xfId="0" applyFont="1" applyFill="1" applyBorder="1" applyAlignment="1">
      <alignment horizontal="center" vertical="center" wrapText="1"/>
    </xf>
    <xf numFmtId="164" fontId="9" fillId="8" borderId="8" xfId="0" applyNumberFormat="1" applyFont="1" applyFill="1" applyBorder="1" applyAlignment="1">
      <alignment horizontal="center" vertical="center" wrapText="1"/>
    </xf>
    <xf numFmtId="22" fontId="8" fillId="8" borderId="8" xfId="0" applyNumberFormat="1" applyFont="1" applyFill="1" applyBorder="1" applyAlignment="1">
      <alignment horizontal="center" vertical="center" wrapText="1"/>
    </xf>
    <xf numFmtId="22" fontId="8" fillId="8" borderId="9" xfId="0" applyNumberFormat="1" applyFont="1" applyFill="1" applyBorder="1" applyAlignment="1">
      <alignment horizontal="center" vertical="center" wrapText="1"/>
    </xf>
    <xf numFmtId="0" fontId="8" fillId="8" borderId="0" xfId="0" applyFont="1" applyFill="1" applyAlignment="1">
      <alignment horizontal="center" vertical="center" wrapText="1"/>
    </xf>
    <xf numFmtId="0" fontId="2" fillId="8" borderId="0" xfId="1" applyFill="1" applyBorder="1" applyAlignment="1" applyProtection="1">
      <alignment horizontal="center" vertical="center" wrapText="1"/>
    </xf>
    <xf numFmtId="0" fontId="9" fillId="8" borderId="0" xfId="0" applyFont="1" applyFill="1" applyAlignment="1">
      <alignment horizontal="center" vertical="center" wrapText="1"/>
    </xf>
    <xf numFmtId="164" fontId="9" fillId="8" borderId="9" xfId="0" applyNumberFormat="1" applyFont="1" applyFill="1" applyBorder="1" applyAlignment="1">
      <alignment horizontal="center" vertical="center" wrapText="1"/>
    </xf>
    <xf numFmtId="0" fontId="11" fillId="8" borderId="8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9" fontId="9" fillId="8" borderId="0" xfId="0" applyNumberFormat="1" applyFont="1" applyFill="1" applyAlignment="1">
      <alignment horizontal="center" vertical="center" wrapText="1"/>
    </xf>
    <xf numFmtId="0" fontId="23" fillId="0" borderId="0" xfId="0" applyFont="1"/>
    <xf numFmtId="0" fontId="25" fillId="0" borderId="0" xfId="0" applyFont="1" applyAlignment="1">
      <alignment horizontal="left" wrapText="1"/>
    </xf>
    <xf numFmtId="0" fontId="25" fillId="0" borderId="0" xfId="0" applyFont="1" applyAlignment="1">
      <alignment horizontal="right" wrapText="1"/>
    </xf>
    <xf numFmtId="0" fontId="26" fillId="0" borderId="0" xfId="0" applyFont="1" applyAlignment="1">
      <alignment horizontal="center" wrapText="1"/>
    </xf>
    <xf numFmtId="0" fontId="27" fillId="3" borderId="0" xfId="0" applyFont="1" applyFill="1" applyAlignment="1">
      <alignment horizontal="left" vertical="center" wrapText="1"/>
    </xf>
    <xf numFmtId="15" fontId="27" fillId="3" borderId="0" xfId="0" applyNumberFormat="1" applyFont="1" applyFill="1" applyAlignment="1">
      <alignment horizontal="left" vertical="center" wrapText="1"/>
    </xf>
    <xf numFmtId="0" fontId="27" fillId="6" borderId="0" xfId="0" applyFont="1" applyFill="1" applyAlignment="1">
      <alignment horizontal="left" vertical="center" wrapText="1"/>
    </xf>
    <xf numFmtId="15" fontId="27" fillId="6" borderId="0" xfId="0" applyNumberFormat="1" applyFont="1" applyFill="1" applyAlignment="1">
      <alignment horizontal="left" vertical="center" wrapText="1"/>
    </xf>
    <xf numFmtId="0" fontId="27" fillId="10" borderId="0" xfId="0" applyFont="1" applyFill="1" applyAlignment="1">
      <alignment horizontal="left" vertical="center" wrapText="1"/>
    </xf>
    <xf numFmtId="15" fontId="27" fillId="10" borderId="0" xfId="0" applyNumberFormat="1" applyFont="1" applyFill="1" applyAlignment="1">
      <alignment horizontal="left" vertical="center" wrapText="1"/>
    </xf>
    <xf numFmtId="0" fontId="27" fillId="10" borderId="6" xfId="0" applyFont="1" applyFill="1" applyBorder="1" applyAlignment="1">
      <alignment horizontal="left" vertical="center" wrapText="1"/>
    </xf>
    <xf numFmtId="15" fontId="27" fillId="10" borderId="7" xfId="0" applyNumberFormat="1" applyFont="1" applyFill="1" applyBorder="1" applyAlignment="1">
      <alignment horizontal="left" vertical="center" wrapText="1"/>
    </xf>
    <xf numFmtId="0" fontId="32" fillId="13" borderId="0" xfId="0" applyFont="1" applyFill="1" applyAlignment="1">
      <alignment horizontal="center" vertical="center" wrapText="1"/>
    </xf>
    <xf numFmtId="0" fontId="32" fillId="5" borderId="0" xfId="0" applyFont="1" applyFill="1" applyAlignment="1">
      <alignment horizontal="center" vertical="center" wrapText="1"/>
    </xf>
    <xf numFmtId="0" fontId="32" fillId="5" borderId="2" xfId="0" applyFont="1" applyFill="1" applyBorder="1" applyAlignment="1">
      <alignment horizontal="center" vertical="center" wrapText="1"/>
    </xf>
    <xf numFmtId="0" fontId="33" fillId="3" borderId="0" xfId="0" applyFont="1" applyFill="1" applyAlignment="1">
      <alignment horizontal="left" vertical="center" wrapText="1"/>
    </xf>
    <xf numFmtId="15" fontId="33" fillId="3" borderId="0" xfId="0" applyNumberFormat="1" applyFont="1" applyFill="1" applyAlignment="1">
      <alignment horizontal="left" vertical="center" wrapText="1"/>
    </xf>
    <xf numFmtId="17" fontId="3" fillId="2" borderId="0" xfId="0" applyNumberFormat="1" applyFont="1" applyFill="1"/>
    <xf numFmtId="0" fontId="32" fillId="12" borderId="0" xfId="0" applyFont="1" applyFill="1" applyAlignment="1">
      <alignment vertical="center" wrapText="1"/>
    </xf>
    <xf numFmtId="0" fontId="32" fillId="12" borderId="4" xfId="0" applyFont="1" applyFill="1" applyBorder="1" applyAlignment="1">
      <alignment vertical="center" wrapText="1"/>
    </xf>
    <xf numFmtId="0" fontId="32" fillId="12" borderId="3" xfId="0" applyFont="1" applyFill="1" applyBorder="1" applyAlignment="1">
      <alignment vertical="center" wrapText="1"/>
    </xf>
    <xf numFmtId="0" fontId="32" fillId="12" borderId="5" xfId="0" applyFont="1" applyFill="1" applyBorder="1" applyAlignment="1">
      <alignment vertical="center" wrapText="1"/>
    </xf>
    <xf numFmtId="0" fontId="35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10" fontId="36" fillId="0" borderId="0" xfId="0" applyNumberFormat="1" applyFont="1" applyAlignment="1">
      <alignment horizontal="center" vertical="center" wrapText="1"/>
    </xf>
    <xf numFmtId="0" fontId="3" fillId="14" borderId="0" xfId="0" applyFont="1" applyFill="1"/>
    <xf numFmtId="0" fontId="27" fillId="10" borderId="11" xfId="0" applyFont="1" applyFill="1" applyBorder="1" applyAlignment="1">
      <alignment horizontal="left" vertical="center" wrapText="1"/>
    </xf>
    <xf numFmtId="0" fontId="27" fillId="10" borderId="12" xfId="0" applyFont="1" applyFill="1" applyBorder="1" applyAlignment="1">
      <alignment horizontal="left" vertical="center" wrapText="1"/>
    </xf>
    <xf numFmtId="0" fontId="28" fillId="11" borderId="0" xfId="0" applyFont="1" applyFill="1" applyAlignment="1">
      <alignment horizontal="center" vertical="center" wrapText="1"/>
    </xf>
    <xf numFmtId="0" fontId="28" fillId="11" borderId="10" xfId="0" applyFont="1" applyFill="1" applyBorder="1" applyAlignment="1">
      <alignment horizontal="center" vertical="center" wrapText="1"/>
    </xf>
    <xf numFmtId="0" fontId="27" fillId="10" borderId="0" xfId="0" applyFont="1" applyFill="1" applyAlignment="1">
      <alignment horizontal="left" vertical="center" wrapText="1"/>
    </xf>
    <xf numFmtId="0" fontId="27" fillId="10" borderId="10" xfId="0" applyFont="1" applyFill="1" applyBorder="1" applyAlignment="1">
      <alignment horizontal="left" vertical="center" wrapText="1"/>
    </xf>
    <xf numFmtId="0" fontId="27" fillId="3" borderId="0" xfId="0" applyFont="1" applyFill="1" applyAlignment="1">
      <alignment horizontal="left" vertical="center" wrapText="1"/>
    </xf>
    <xf numFmtId="0" fontId="28" fillId="5" borderId="0" xfId="0" applyFont="1" applyFill="1" applyAlignment="1">
      <alignment horizontal="center" vertical="center" wrapText="1"/>
    </xf>
    <xf numFmtId="0" fontId="27" fillId="6" borderId="0" xfId="0" applyFont="1" applyFill="1" applyAlignment="1">
      <alignment horizontal="left" vertical="center" wrapText="1"/>
    </xf>
    <xf numFmtId="0" fontId="28" fillId="9" borderId="0" xfId="0" applyFont="1" applyFill="1" applyAlignment="1">
      <alignment horizontal="center" vertical="center" wrapText="1"/>
    </xf>
    <xf numFmtId="0" fontId="30" fillId="6" borderId="0" xfId="0" applyFont="1" applyFill="1" applyAlignment="1">
      <alignment horizontal="left" vertical="center" wrapText="1"/>
    </xf>
    <xf numFmtId="0" fontId="29" fillId="3" borderId="0" xfId="0" applyFont="1" applyFill="1" applyAlignment="1">
      <alignment horizontal="left" vertical="center" wrapText="1"/>
    </xf>
    <xf numFmtId="0" fontId="29" fillId="6" borderId="0" xfId="0" applyFont="1" applyFill="1" applyAlignment="1">
      <alignment horizontal="left" vertical="center" wrapText="1"/>
    </xf>
    <xf numFmtId="0" fontId="30" fillId="3" borderId="0" xfId="0" applyFont="1" applyFill="1" applyAlignment="1">
      <alignment horizontal="left" vertical="center" wrapText="1"/>
    </xf>
    <xf numFmtId="3" fontId="27" fillId="6" borderId="0" xfId="0" applyNumberFormat="1" applyFont="1" applyFill="1" applyAlignment="1">
      <alignment horizontal="left" vertical="center" wrapText="1"/>
    </xf>
    <xf numFmtId="0" fontId="31" fillId="9" borderId="0" xfId="0" applyFont="1" applyFill="1" applyAlignment="1">
      <alignment horizontal="center" vertical="center" wrapText="1"/>
    </xf>
    <xf numFmtId="0" fontId="33" fillId="3" borderId="0" xfId="0" applyFont="1" applyFill="1" applyAlignment="1">
      <alignment horizontal="left" vertical="center" wrapText="1"/>
    </xf>
    <xf numFmtId="0" fontId="34" fillId="5" borderId="0" xfId="0" applyFont="1" applyFill="1" applyAlignment="1">
      <alignment horizontal="center" vertical="center" wrapText="1"/>
    </xf>
    <xf numFmtId="0" fontId="3" fillId="0" borderId="13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0" xfId="0" applyFont="1" applyAlignment="1">
      <alignment horizontal="center"/>
    </xf>
  </cellXfs>
  <cellStyles count="6">
    <cellStyle name="Comma 2" xfId="3" xr:uid="{8A2EBC54-31E6-4505-A676-A149F0C92E6D}"/>
    <cellStyle name="Hyperlink" xfId="1" builtinId="8"/>
    <cellStyle name="Normal" xfId="0" builtinId="0"/>
    <cellStyle name="Normal 2" xfId="4" xr:uid="{85698BE3-06B8-46BB-A09A-61D553A5B990}"/>
    <cellStyle name="Normal 3" xfId="5" xr:uid="{60DECD44-5360-41FB-A28E-26754A8FA652}"/>
    <cellStyle name="Normal 4" xfId="2" xr:uid="{0773792A-8B9B-4381-AB95-A48C33F9047E}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3D3C3C"/>
        <name val="Lato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Precio Calls GGAL 17/12/2021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'BYMA - Equity'!$E$10:$E$133</c:f>
              <c:numCache>
                <c:formatCode>General</c:formatCode>
                <c:ptCount val="36"/>
                <c:pt idx="0">
                  <c:v>87</c:v>
                </c:pt>
                <c:pt idx="1">
                  <c:v>90</c:v>
                </c:pt>
                <c:pt idx="2">
                  <c:v>93</c:v>
                </c:pt>
                <c:pt idx="3">
                  <c:v>96</c:v>
                </c:pt>
                <c:pt idx="4">
                  <c:v>99</c:v>
                </c:pt>
                <c:pt idx="5">
                  <c:v>102</c:v>
                </c:pt>
                <c:pt idx="6">
                  <c:v>111</c:v>
                </c:pt>
                <c:pt idx="7">
                  <c:v>129</c:v>
                </c:pt>
                <c:pt idx="8">
                  <c:v>132</c:v>
                </c:pt>
                <c:pt idx="9">
                  <c:v>135</c:v>
                </c:pt>
                <c:pt idx="10">
                  <c:v>140</c:v>
                </c:pt>
                <c:pt idx="11">
                  <c:v>145</c:v>
                </c:pt>
                <c:pt idx="12">
                  <c:v>150</c:v>
                </c:pt>
                <c:pt idx="13">
                  <c:v>155</c:v>
                </c:pt>
                <c:pt idx="14">
                  <c:v>160</c:v>
                </c:pt>
                <c:pt idx="15">
                  <c:v>165</c:v>
                </c:pt>
                <c:pt idx="16">
                  <c:v>170</c:v>
                </c:pt>
                <c:pt idx="17">
                  <c:v>175</c:v>
                </c:pt>
                <c:pt idx="18">
                  <c:v>180</c:v>
                </c:pt>
                <c:pt idx="19">
                  <c:v>185</c:v>
                </c:pt>
                <c:pt idx="20">
                  <c:v>190</c:v>
                </c:pt>
                <c:pt idx="21">
                  <c:v>195</c:v>
                </c:pt>
                <c:pt idx="22">
                  <c:v>200</c:v>
                </c:pt>
                <c:pt idx="23">
                  <c:v>210</c:v>
                </c:pt>
                <c:pt idx="24">
                  <c:v>220</c:v>
                </c:pt>
                <c:pt idx="25">
                  <c:v>230</c:v>
                </c:pt>
                <c:pt idx="26">
                  <c:v>240</c:v>
                </c:pt>
                <c:pt idx="27">
                  <c:v>250</c:v>
                </c:pt>
                <c:pt idx="28">
                  <c:v>260</c:v>
                </c:pt>
                <c:pt idx="29">
                  <c:v>270</c:v>
                </c:pt>
                <c:pt idx="30">
                  <c:v>280</c:v>
                </c:pt>
                <c:pt idx="31">
                  <c:v>290</c:v>
                </c:pt>
                <c:pt idx="32">
                  <c:v>300</c:v>
                </c:pt>
                <c:pt idx="33">
                  <c:v>310</c:v>
                </c:pt>
                <c:pt idx="34">
                  <c:v>320</c:v>
                </c:pt>
                <c:pt idx="35">
                  <c:v>330</c:v>
                </c:pt>
              </c:numCache>
            </c:numRef>
          </c:xVal>
          <c:yVal>
            <c:numRef>
              <c:f>'BYMA - Equity'!$F$10:$F$133</c:f>
              <c:numCache>
                <c:formatCode>General</c:formatCode>
                <c:ptCount val="36"/>
                <c:pt idx="0" formatCode="0.0000">
                  <c:v>137.72999999999999</c:v>
                </c:pt>
                <c:pt idx="1">
                  <c:v>134.91</c:v>
                </c:pt>
                <c:pt idx="2">
                  <c:v>132.09</c:v>
                </c:pt>
                <c:pt idx="3">
                  <c:v>130.13</c:v>
                </c:pt>
                <c:pt idx="4" formatCode="0.0000">
                  <c:v>128.57</c:v>
                </c:pt>
                <c:pt idx="5" formatCode="0.0000">
                  <c:v>124.44</c:v>
                </c:pt>
                <c:pt idx="6">
                  <c:v>117.44</c:v>
                </c:pt>
                <c:pt idx="7">
                  <c:v>98.8</c:v>
                </c:pt>
                <c:pt idx="8">
                  <c:v>102.61</c:v>
                </c:pt>
                <c:pt idx="9" formatCode="0.0000">
                  <c:v>93.12</c:v>
                </c:pt>
                <c:pt idx="10" formatCode="0.0000">
                  <c:v>94.15</c:v>
                </c:pt>
                <c:pt idx="11">
                  <c:v>87</c:v>
                </c:pt>
                <c:pt idx="12">
                  <c:v>81</c:v>
                </c:pt>
                <c:pt idx="13">
                  <c:v>76.08</c:v>
                </c:pt>
                <c:pt idx="14">
                  <c:v>77</c:v>
                </c:pt>
                <c:pt idx="15" formatCode="0.0000">
                  <c:v>76.66</c:v>
                </c:pt>
                <c:pt idx="16">
                  <c:v>70</c:v>
                </c:pt>
                <c:pt idx="17" formatCode="0.0000">
                  <c:v>56</c:v>
                </c:pt>
                <c:pt idx="18">
                  <c:v>58.96</c:v>
                </c:pt>
                <c:pt idx="19">
                  <c:v>50</c:v>
                </c:pt>
                <c:pt idx="20" formatCode="0.0000">
                  <c:v>51</c:v>
                </c:pt>
                <c:pt idx="21">
                  <c:v>46</c:v>
                </c:pt>
                <c:pt idx="22" formatCode="0.0000">
                  <c:v>42.5</c:v>
                </c:pt>
                <c:pt idx="23">
                  <c:v>34.9</c:v>
                </c:pt>
                <c:pt idx="24">
                  <c:v>27.1</c:v>
                </c:pt>
                <c:pt idx="25">
                  <c:v>22</c:v>
                </c:pt>
                <c:pt idx="26">
                  <c:v>16.8</c:v>
                </c:pt>
                <c:pt idx="27">
                  <c:v>12.8</c:v>
                </c:pt>
                <c:pt idx="28">
                  <c:v>9.5</c:v>
                </c:pt>
                <c:pt idx="29">
                  <c:v>7</c:v>
                </c:pt>
                <c:pt idx="30" formatCode="0.0000">
                  <c:v>5.1100000000000003</c:v>
                </c:pt>
                <c:pt idx="31" formatCode="0.0000">
                  <c:v>3.8</c:v>
                </c:pt>
                <c:pt idx="32">
                  <c:v>2.83</c:v>
                </c:pt>
                <c:pt idx="33">
                  <c:v>2</c:v>
                </c:pt>
                <c:pt idx="34">
                  <c:v>1.49</c:v>
                </c:pt>
                <c:pt idx="35">
                  <c:v>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E1-4652-A2F8-441DB4A2B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698352"/>
        <c:axId val="2021400400"/>
      </c:scatterChart>
      <c:valAx>
        <c:axId val="209969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1400400"/>
        <c:crosses val="autoZero"/>
        <c:crossBetween val="midCat"/>
      </c:valAx>
      <c:valAx>
        <c:axId val="202140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69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Volumen Calls GGAL 17/12/2021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'BYMA - Equity'!$E$10:$E$133</c:f>
              <c:numCache>
                <c:formatCode>General</c:formatCode>
                <c:ptCount val="36"/>
                <c:pt idx="0">
                  <c:v>87</c:v>
                </c:pt>
                <c:pt idx="1">
                  <c:v>90</c:v>
                </c:pt>
                <c:pt idx="2">
                  <c:v>93</c:v>
                </c:pt>
                <c:pt idx="3">
                  <c:v>96</c:v>
                </c:pt>
                <c:pt idx="4">
                  <c:v>99</c:v>
                </c:pt>
                <c:pt idx="5">
                  <c:v>102</c:v>
                </c:pt>
                <c:pt idx="6">
                  <c:v>111</c:v>
                </c:pt>
                <c:pt idx="7">
                  <c:v>129</c:v>
                </c:pt>
                <c:pt idx="8">
                  <c:v>132</c:v>
                </c:pt>
                <c:pt idx="9">
                  <c:v>135</c:v>
                </c:pt>
                <c:pt idx="10">
                  <c:v>140</c:v>
                </c:pt>
                <c:pt idx="11">
                  <c:v>145</c:v>
                </c:pt>
                <c:pt idx="12">
                  <c:v>150</c:v>
                </c:pt>
                <c:pt idx="13">
                  <c:v>155</c:v>
                </c:pt>
                <c:pt idx="14">
                  <c:v>160</c:v>
                </c:pt>
                <c:pt idx="15">
                  <c:v>165</c:v>
                </c:pt>
                <c:pt idx="16">
                  <c:v>170</c:v>
                </c:pt>
                <c:pt idx="17">
                  <c:v>175</c:v>
                </c:pt>
                <c:pt idx="18">
                  <c:v>180</c:v>
                </c:pt>
                <c:pt idx="19">
                  <c:v>185</c:v>
                </c:pt>
                <c:pt idx="20">
                  <c:v>190</c:v>
                </c:pt>
                <c:pt idx="21">
                  <c:v>195</c:v>
                </c:pt>
                <c:pt idx="22">
                  <c:v>200</c:v>
                </c:pt>
                <c:pt idx="23">
                  <c:v>210</c:v>
                </c:pt>
                <c:pt idx="24">
                  <c:v>220</c:v>
                </c:pt>
                <c:pt idx="25">
                  <c:v>230</c:v>
                </c:pt>
                <c:pt idx="26">
                  <c:v>240</c:v>
                </c:pt>
                <c:pt idx="27">
                  <c:v>250</c:v>
                </c:pt>
                <c:pt idx="28">
                  <c:v>260</c:v>
                </c:pt>
                <c:pt idx="29">
                  <c:v>270</c:v>
                </c:pt>
                <c:pt idx="30">
                  <c:v>280</c:v>
                </c:pt>
                <c:pt idx="31">
                  <c:v>290</c:v>
                </c:pt>
                <c:pt idx="32">
                  <c:v>300</c:v>
                </c:pt>
                <c:pt idx="33">
                  <c:v>310</c:v>
                </c:pt>
                <c:pt idx="34">
                  <c:v>320</c:v>
                </c:pt>
                <c:pt idx="35">
                  <c:v>330</c:v>
                </c:pt>
              </c:numCache>
            </c:numRef>
          </c:xVal>
          <c:yVal>
            <c:numRef>
              <c:f>'BYMA - Equity'!$L$10:$L$133</c:f>
              <c:numCache>
                <c:formatCode>General</c:formatCode>
                <c:ptCount val="36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600</c:v>
                </c:pt>
                <c:pt idx="4">
                  <c:v>600</c:v>
                </c:pt>
                <c:pt idx="5">
                  <c:v>900</c:v>
                </c:pt>
                <c:pt idx="6">
                  <c:v>1000</c:v>
                </c:pt>
                <c:pt idx="7">
                  <c:v>500</c:v>
                </c:pt>
                <c:pt idx="8">
                  <c:v>200</c:v>
                </c:pt>
                <c:pt idx="9">
                  <c:v>500</c:v>
                </c:pt>
                <c:pt idx="10">
                  <c:v>10800</c:v>
                </c:pt>
                <c:pt idx="11">
                  <c:v>700</c:v>
                </c:pt>
                <c:pt idx="12">
                  <c:v>100</c:v>
                </c:pt>
                <c:pt idx="13">
                  <c:v>1000</c:v>
                </c:pt>
                <c:pt idx="14">
                  <c:v>100</c:v>
                </c:pt>
                <c:pt idx="15">
                  <c:v>8100</c:v>
                </c:pt>
                <c:pt idx="16">
                  <c:v>20300</c:v>
                </c:pt>
                <c:pt idx="17">
                  <c:v>200</c:v>
                </c:pt>
                <c:pt idx="18">
                  <c:v>30500</c:v>
                </c:pt>
                <c:pt idx="19">
                  <c:v>3000</c:v>
                </c:pt>
                <c:pt idx="20">
                  <c:v>53700</c:v>
                </c:pt>
                <c:pt idx="21">
                  <c:v>14700</c:v>
                </c:pt>
                <c:pt idx="22">
                  <c:v>1684</c:v>
                </c:pt>
                <c:pt idx="23">
                  <c:v>3222</c:v>
                </c:pt>
                <c:pt idx="24">
                  <c:v>5479</c:v>
                </c:pt>
                <c:pt idx="25">
                  <c:v>10023</c:v>
                </c:pt>
                <c:pt idx="26">
                  <c:v>9792</c:v>
                </c:pt>
                <c:pt idx="27">
                  <c:v>24078</c:v>
                </c:pt>
                <c:pt idx="28">
                  <c:v>14459</c:v>
                </c:pt>
                <c:pt idx="29">
                  <c:v>6816</c:v>
                </c:pt>
                <c:pt idx="30">
                  <c:v>6205</c:v>
                </c:pt>
                <c:pt idx="31">
                  <c:v>1552</c:v>
                </c:pt>
                <c:pt idx="32">
                  <c:v>5541</c:v>
                </c:pt>
                <c:pt idx="33">
                  <c:v>64500</c:v>
                </c:pt>
                <c:pt idx="34">
                  <c:v>7600</c:v>
                </c:pt>
                <c:pt idx="35">
                  <c:v>48000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25-401D-A0B6-989535007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698352"/>
        <c:axId val="2021400400"/>
      </c:scatterChart>
      <c:valAx>
        <c:axId val="209969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1400400"/>
        <c:crosses val="autoZero"/>
        <c:crossBetween val="midCat"/>
      </c:valAx>
      <c:valAx>
        <c:axId val="202140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69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Precio Calls - FB 17/12/2021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'NYSE - Equity'!$C$11:$C$85</c:f>
              <c:numCache>
                <c:formatCode>General</c:formatCode>
                <c:ptCount val="75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  <c:pt idx="11">
                  <c:v>205</c:v>
                </c:pt>
                <c:pt idx="12">
                  <c:v>210</c:v>
                </c:pt>
                <c:pt idx="13">
                  <c:v>215</c:v>
                </c:pt>
                <c:pt idx="14">
                  <c:v>220</c:v>
                </c:pt>
                <c:pt idx="15">
                  <c:v>225</c:v>
                </c:pt>
                <c:pt idx="16">
                  <c:v>230</c:v>
                </c:pt>
                <c:pt idx="17">
                  <c:v>235</c:v>
                </c:pt>
                <c:pt idx="18">
                  <c:v>240</c:v>
                </c:pt>
                <c:pt idx="19">
                  <c:v>245</c:v>
                </c:pt>
                <c:pt idx="20">
                  <c:v>250</c:v>
                </c:pt>
                <c:pt idx="21">
                  <c:v>255</c:v>
                </c:pt>
                <c:pt idx="22">
                  <c:v>260</c:v>
                </c:pt>
                <c:pt idx="23">
                  <c:v>265</c:v>
                </c:pt>
                <c:pt idx="24">
                  <c:v>270</c:v>
                </c:pt>
                <c:pt idx="25">
                  <c:v>275</c:v>
                </c:pt>
                <c:pt idx="26">
                  <c:v>280</c:v>
                </c:pt>
                <c:pt idx="27">
                  <c:v>285</c:v>
                </c:pt>
                <c:pt idx="28">
                  <c:v>290</c:v>
                </c:pt>
                <c:pt idx="29">
                  <c:v>295</c:v>
                </c:pt>
                <c:pt idx="30">
                  <c:v>300</c:v>
                </c:pt>
                <c:pt idx="31">
                  <c:v>305</c:v>
                </c:pt>
                <c:pt idx="32">
                  <c:v>310</c:v>
                </c:pt>
                <c:pt idx="33">
                  <c:v>315</c:v>
                </c:pt>
                <c:pt idx="34">
                  <c:v>320</c:v>
                </c:pt>
                <c:pt idx="35">
                  <c:v>325</c:v>
                </c:pt>
                <c:pt idx="36">
                  <c:v>330</c:v>
                </c:pt>
                <c:pt idx="37">
                  <c:v>335</c:v>
                </c:pt>
                <c:pt idx="38">
                  <c:v>340</c:v>
                </c:pt>
                <c:pt idx="39">
                  <c:v>345</c:v>
                </c:pt>
                <c:pt idx="40">
                  <c:v>350</c:v>
                </c:pt>
                <c:pt idx="41">
                  <c:v>355</c:v>
                </c:pt>
                <c:pt idx="42">
                  <c:v>360</c:v>
                </c:pt>
                <c:pt idx="43">
                  <c:v>365</c:v>
                </c:pt>
                <c:pt idx="44">
                  <c:v>370</c:v>
                </c:pt>
                <c:pt idx="45">
                  <c:v>375</c:v>
                </c:pt>
                <c:pt idx="46">
                  <c:v>380</c:v>
                </c:pt>
                <c:pt idx="47">
                  <c:v>385</c:v>
                </c:pt>
                <c:pt idx="48">
                  <c:v>390</c:v>
                </c:pt>
                <c:pt idx="49">
                  <c:v>395</c:v>
                </c:pt>
                <c:pt idx="50">
                  <c:v>400</c:v>
                </c:pt>
                <c:pt idx="51">
                  <c:v>405</c:v>
                </c:pt>
                <c:pt idx="52">
                  <c:v>410</c:v>
                </c:pt>
                <c:pt idx="53">
                  <c:v>415</c:v>
                </c:pt>
                <c:pt idx="54">
                  <c:v>420</c:v>
                </c:pt>
                <c:pt idx="55">
                  <c:v>425</c:v>
                </c:pt>
                <c:pt idx="56">
                  <c:v>430</c:v>
                </c:pt>
                <c:pt idx="57">
                  <c:v>435</c:v>
                </c:pt>
                <c:pt idx="58">
                  <c:v>440</c:v>
                </c:pt>
                <c:pt idx="59">
                  <c:v>445</c:v>
                </c:pt>
                <c:pt idx="60">
                  <c:v>450</c:v>
                </c:pt>
                <c:pt idx="61">
                  <c:v>455</c:v>
                </c:pt>
                <c:pt idx="62">
                  <c:v>460</c:v>
                </c:pt>
                <c:pt idx="63">
                  <c:v>465</c:v>
                </c:pt>
                <c:pt idx="64">
                  <c:v>470</c:v>
                </c:pt>
                <c:pt idx="65">
                  <c:v>475</c:v>
                </c:pt>
                <c:pt idx="66">
                  <c:v>480</c:v>
                </c:pt>
                <c:pt idx="67">
                  <c:v>485</c:v>
                </c:pt>
                <c:pt idx="68">
                  <c:v>490</c:v>
                </c:pt>
                <c:pt idx="69">
                  <c:v>495</c:v>
                </c:pt>
                <c:pt idx="70">
                  <c:v>500</c:v>
                </c:pt>
                <c:pt idx="71">
                  <c:v>505</c:v>
                </c:pt>
                <c:pt idx="72">
                  <c:v>510</c:v>
                </c:pt>
                <c:pt idx="73">
                  <c:v>515</c:v>
                </c:pt>
                <c:pt idx="74">
                  <c:v>520</c:v>
                </c:pt>
              </c:numCache>
            </c:numRef>
          </c:xVal>
          <c:yVal>
            <c:numRef>
              <c:f>'NYSE - Equity'!$D$11:$D$85</c:f>
              <c:numCache>
                <c:formatCode>General</c:formatCode>
                <c:ptCount val="75"/>
                <c:pt idx="0">
                  <c:v>169.74</c:v>
                </c:pt>
                <c:pt idx="1">
                  <c:v>173.29</c:v>
                </c:pt>
                <c:pt idx="2">
                  <c:v>164.65</c:v>
                </c:pt>
                <c:pt idx="3">
                  <c:v>163.36000000000001</c:v>
                </c:pt>
                <c:pt idx="4">
                  <c:v>161.4</c:v>
                </c:pt>
                <c:pt idx="5">
                  <c:v>153.1</c:v>
                </c:pt>
                <c:pt idx="6">
                  <c:v>150.30000000000001</c:v>
                </c:pt>
                <c:pt idx="7">
                  <c:v>142.04</c:v>
                </c:pt>
                <c:pt idx="8">
                  <c:v>136.5</c:v>
                </c:pt>
                <c:pt idx="9">
                  <c:v>134.85</c:v>
                </c:pt>
                <c:pt idx="10">
                  <c:v>123</c:v>
                </c:pt>
                <c:pt idx="11">
                  <c:v>124.74</c:v>
                </c:pt>
                <c:pt idx="12">
                  <c:v>120.05</c:v>
                </c:pt>
                <c:pt idx="13">
                  <c:v>125.83</c:v>
                </c:pt>
                <c:pt idx="14">
                  <c:v>105.05</c:v>
                </c:pt>
                <c:pt idx="15">
                  <c:v>113.8</c:v>
                </c:pt>
                <c:pt idx="16">
                  <c:v>93.5</c:v>
                </c:pt>
                <c:pt idx="17">
                  <c:v>91.25</c:v>
                </c:pt>
                <c:pt idx="18">
                  <c:v>85.6</c:v>
                </c:pt>
                <c:pt idx="19">
                  <c:v>81.55</c:v>
                </c:pt>
                <c:pt idx="20">
                  <c:v>75.14</c:v>
                </c:pt>
                <c:pt idx="21">
                  <c:v>80.400000000000006</c:v>
                </c:pt>
                <c:pt idx="22">
                  <c:v>64.61</c:v>
                </c:pt>
                <c:pt idx="23">
                  <c:v>60</c:v>
                </c:pt>
                <c:pt idx="24">
                  <c:v>59.2</c:v>
                </c:pt>
                <c:pt idx="25">
                  <c:v>53</c:v>
                </c:pt>
                <c:pt idx="26">
                  <c:v>49</c:v>
                </c:pt>
                <c:pt idx="27">
                  <c:v>42.95</c:v>
                </c:pt>
                <c:pt idx="28">
                  <c:v>40.729999999999997</c:v>
                </c:pt>
                <c:pt idx="29">
                  <c:v>37.799999999999997</c:v>
                </c:pt>
                <c:pt idx="30">
                  <c:v>33.200000000000003</c:v>
                </c:pt>
                <c:pt idx="31">
                  <c:v>29</c:v>
                </c:pt>
                <c:pt idx="32">
                  <c:v>26.6</c:v>
                </c:pt>
                <c:pt idx="33">
                  <c:v>23.17</c:v>
                </c:pt>
                <c:pt idx="34">
                  <c:v>19.600000000000001</c:v>
                </c:pt>
                <c:pt idx="35">
                  <c:v>17</c:v>
                </c:pt>
                <c:pt idx="36">
                  <c:v>14.7</c:v>
                </c:pt>
                <c:pt idx="37">
                  <c:v>12.5</c:v>
                </c:pt>
                <c:pt idx="38">
                  <c:v>10.65</c:v>
                </c:pt>
                <c:pt idx="39">
                  <c:v>8.8699999999999992</c:v>
                </c:pt>
                <c:pt idx="40">
                  <c:v>7.45</c:v>
                </c:pt>
                <c:pt idx="41">
                  <c:v>6.21</c:v>
                </c:pt>
                <c:pt idx="42">
                  <c:v>5.2</c:v>
                </c:pt>
                <c:pt idx="43">
                  <c:v>4.3499999999999996</c:v>
                </c:pt>
                <c:pt idx="44">
                  <c:v>3.58</c:v>
                </c:pt>
                <c:pt idx="45">
                  <c:v>3</c:v>
                </c:pt>
                <c:pt idx="46">
                  <c:v>2.52</c:v>
                </c:pt>
                <c:pt idx="47">
                  <c:v>2.1</c:v>
                </c:pt>
                <c:pt idx="48">
                  <c:v>1.75</c:v>
                </c:pt>
                <c:pt idx="49">
                  <c:v>1.49</c:v>
                </c:pt>
                <c:pt idx="50">
                  <c:v>1.26</c:v>
                </c:pt>
                <c:pt idx="51">
                  <c:v>1.07</c:v>
                </c:pt>
                <c:pt idx="52">
                  <c:v>0.9</c:v>
                </c:pt>
                <c:pt idx="53">
                  <c:v>0.67</c:v>
                </c:pt>
                <c:pt idx="54">
                  <c:v>0.67</c:v>
                </c:pt>
                <c:pt idx="55">
                  <c:v>0.52</c:v>
                </c:pt>
                <c:pt idx="56">
                  <c:v>0.48</c:v>
                </c:pt>
                <c:pt idx="57">
                  <c:v>0.43</c:v>
                </c:pt>
                <c:pt idx="58">
                  <c:v>0.35</c:v>
                </c:pt>
                <c:pt idx="59">
                  <c:v>0.28000000000000003</c:v>
                </c:pt>
                <c:pt idx="60">
                  <c:v>0.27</c:v>
                </c:pt>
                <c:pt idx="61">
                  <c:v>0.27</c:v>
                </c:pt>
                <c:pt idx="62">
                  <c:v>0.23</c:v>
                </c:pt>
                <c:pt idx="63">
                  <c:v>0.19</c:v>
                </c:pt>
                <c:pt idx="64">
                  <c:v>0.16</c:v>
                </c:pt>
                <c:pt idx="65">
                  <c:v>0.16</c:v>
                </c:pt>
                <c:pt idx="66">
                  <c:v>0.12</c:v>
                </c:pt>
                <c:pt idx="67">
                  <c:v>0.12</c:v>
                </c:pt>
                <c:pt idx="68">
                  <c:v>0.1</c:v>
                </c:pt>
                <c:pt idx="69">
                  <c:v>0.09</c:v>
                </c:pt>
                <c:pt idx="70">
                  <c:v>0.08</c:v>
                </c:pt>
                <c:pt idx="71">
                  <c:v>0.08</c:v>
                </c:pt>
                <c:pt idx="72">
                  <c:v>7.0000000000000007E-2</c:v>
                </c:pt>
                <c:pt idx="73">
                  <c:v>0.05</c:v>
                </c:pt>
                <c:pt idx="74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6-4A61-ABD6-87E54600E92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'NYSE - Equity'!$C$11:$C$91</c:f>
              <c:numCache>
                <c:formatCode>General</c:formatCode>
                <c:ptCount val="81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  <c:pt idx="11">
                  <c:v>205</c:v>
                </c:pt>
                <c:pt idx="12">
                  <c:v>210</c:v>
                </c:pt>
                <c:pt idx="13">
                  <c:v>215</c:v>
                </c:pt>
                <c:pt idx="14">
                  <c:v>220</c:v>
                </c:pt>
                <c:pt idx="15">
                  <c:v>225</c:v>
                </c:pt>
                <c:pt idx="16">
                  <c:v>230</c:v>
                </c:pt>
                <c:pt idx="17">
                  <c:v>235</c:v>
                </c:pt>
                <c:pt idx="18">
                  <c:v>240</c:v>
                </c:pt>
                <c:pt idx="19">
                  <c:v>245</c:v>
                </c:pt>
                <c:pt idx="20">
                  <c:v>250</c:v>
                </c:pt>
                <c:pt idx="21">
                  <c:v>255</c:v>
                </c:pt>
                <c:pt idx="22">
                  <c:v>260</c:v>
                </c:pt>
                <c:pt idx="23">
                  <c:v>265</c:v>
                </c:pt>
                <c:pt idx="24">
                  <c:v>270</c:v>
                </c:pt>
                <c:pt idx="25">
                  <c:v>275</c:v>
                </c:pt>
                <c:pt idx="26">
                  <c:v>280</c:v>
                </c:pt>
                <c:pt idx="27">
                  <c:v>285</c:v>
                </c:pt>
                <c:pt idx="28">
                  <c:v>290</c:v>
                </c:pt>
                <c:pt idx="29">
                  <c:v>295</c:v>
                </c:pt>
                <c:pt idx="30">
                  <c:v>300</c:v>
                </c:pt>
                <c:pt idx="31">
                  <c:v>305</c:v>
                </c:pt>
                <c:pt idx="32">
                  <c:v>310</c:v>
                </c:pt>
                <c:pt idx="33">
                  <c:v>315</c:v>
                </c:pt>
                <c:pt idx="34">
                  <c:v>320</c:v>
                </c:pt>
                <c:pt idx="35">
                  <c:v>325</c:v>
                </c:pt>
                <c:pt idx="36">
                  <c:v>330</c:v>
                </c:pt>
                <c:pt idx="37">
                  <c:v>335</c:v>
                </c:pt>
                <c:pt idx="38">
                  <c:v>340</c:v>
                </c:pt>
                <c:pt idx="39">
                  <c:v>345</c:v>
                </c:pt>
                <c:pt idx="40">
                  <c:v>350</c:v>
                </c:pt>
                <c:pt idx="41">
                  <c:v>355</c:v>
                </c:pt>
                <c:pt idx="42">
                  <c:v>360</c:v>
                </c:pt>
                <c:pt idx="43">
                  <c:v>365</c:v>
                </c:pt>
                <c:pt idx="44">
                  <c:v>370</c:v>
                </c:pt>
                <c:pt idx="45">
                  <c:v>375</c:v>
                </c:pt>
                <c:pt idx="46">
                  <c:v>380</c:v>
                </c:pt>
                <c:pt idx="47">
                  <c:v>385</c:v>
                </c:pt>
                <c:pt idx="48">
                  <c:v>390</c:v>
                </c:pt>
                <c:pt idx="49">
                  <c:v>395</c:v>
                </c:pt>
                <c:pt idx="50">
                  <c:v>400</c:v>
                </c:pt>
                <c:pt idx="51">
                  <c:v>405</c:v>
                </c:pt>
                <c:pt idx="52">
                  <c:v>410</c:v>
                </c:pt>
                <c:pt idx="53">
                  <c:v>415</c:v>
                </c:pt>
                <c:pt idx="54">
                  <c:v>420</c:v>
                </c:pt>
                <c:pt idx="55">
                  <c:v>425</c:v>
                </c:pt>
                <c:pt idx="56">
                  <c:v>430</c:v>
                </c:pt>
                <c:pt idx="57">
                  <c:v>435</c:v>
                </c:pt>
                <c:pt idx="58">
                  <c:v>440</c:v>
                </c:pt>
                <c:pt idx="59">
                  <c:v>445</c:v>
                </c:pt>
                <c:pt idx="60">
                  <c:v>450</c:v>
                </c:pt>
                <c:pt idx="61">
                  <c:v>455</c:v>
                </c:pt>
                <c:pt idx="62">
                  <c:v>460</c:v>
                </c:pt>
                <c:pt idx="63">
                  <c:v>465</c:v>
                </c:pt>
                <c:pt idx="64">
                  <c:v>470</c:v>
                </c:pt>
                <c:pt idx="65">
                  <c:v>475</c:v>
                </c:pt>
                <c:pt idx="66">
                  <c:v>480</c:v>
                </c:pt>
                <c:pt idx="67">
                  <c:v>485</c:v>
                </c:pt>
                <c:pt idx="68">
                  <c:v>490</c:v>
                </c:pt>
                <c:pt idx="69">
                  <c:v>495</c:v>
                </c:pt>
                <c:pt idx="70">
                  <c:v>500</c:v>
                </c:pt>
                <c:pt idx="71">
                  <c:v>505</c:v>
                </c:pt>
                <c:pt idx="72">
                  <c:v>510</c:v>
                </c:pt>
                <c:pt idx="73">
                  <c:v>515</c:v>
                </c:pt>
                <c:pt idx="74">
                  <c:v>520</c:v>
                </c:pt>
                <c:pt idx="75">
                  <c:v>525</c:v>
                </c:pt>
                <c:pt idx="76">
                  <c:v>530</c:v>
                </c:pt>
                <c:pt idx="77">
                  <c:v>535</c:v>
                </c:pt>
                <c:pt idx="78">
                  <c:v>540</c:v>
                </c:pt>
                <c:pt idx="79">
                  <c:v>550</c:v>
                </c:pt>
                <c:pt idx="80">
                  <c:v>560</c:v>
                </c:pt>
              </c:numCache>
            </c:numRef>
          </c:xVal>
          <c:yVal>
            <c:numRef>
              <c:f>'NYSE - Equity'!$L$11:$L$85</c:f>
              <c:numCache>
                <c:formatCode>General</c:formatCode>
                <c:ptCount val="75"/>
                <c:pt idx="0">
                  <c:v>174.97500000000002</c:v>
                </c:pt>
                <c:pt idx="1">
                  <c:v>169.95</c:v>
                </c:pt>
                <c:pt idx="2">
                  <c:v>165.02499999999998</c:v>
                </c:pt>
                <c:pt idx="3">
                  <c:v>160.14999999999998</c:v>
                </c:pt>
                <c:pt idx="4">
                  <c:v>155.07499999999999</c:v>
                </c:pt>
                <c:pt idx="5">
                  <c:v>150.07499999999999</c:v>
                </c:pt>
                <c:pt idx="6">
                  <c:v>145.125</c:v>
                </c:pt>
                <c:pt idx="7">
                  <c:v>140.17500000000001</c:v>
                </c:pt>
                <c:pt idx="8">
                  <c:v>135.17500000000001</c:v>
                </c:pt>
                <c:pt idx="9">
                  <c:v>130.25</c:v>
                </c:pt>
                <c:pt idx="10">
                  <c:v>125.32499999999999</c:v>
                </c:pt>
                <c:pt idx="11">
                  <c:v>120.35</c:v>
                </c:pt>
                <c:pt idx="12">
                  <c:v>115.4</c:v>
                </c:pt>
                <c:pt idx="13">
                  <c:v>110.44999999999999</c:v>
                </c:pt>
                <c:pt idx="14">
                  <c:v>105.575</c:v>
                </c:pt>
                <c:pt idx="15">
                  <c:v>100.575</c:v>
                </c:pt>
                <c:pt idx="16">
                  <c:v>95.724999999999994</c:v>
                </c:pt>
                <c:pt idx="17">
                  <c:v>90.875</c:v>
                </c:pt>
                <c:pt idx="18">
                  <c:v>85.924999999999997</c:v>
                </c:pt>
                <c:pt idx="19">
                  <c:v>81.174999999999997</c:v>
                </c:pt>
                <c:pt idx="20">
                  <c:v>76.375</c:v>
                </c:pt>
                <c:pt idx="21">
                  <c:v>71.575000000000003</c:v>
                </c:pt>
                <c:pt idx="22">
                  <c:v>66.825000000000003</c:v>
                </c:pt>
                <c:pt idx="23">
                  <c:v>62.2</c:v>
                </c:pt>
                <c:pt idx="24">
                  <c:v>57.65</c:v>
                </c:pt>
                <c:pt idx="25">
                  <c:v>53.15</c:v>
                </c:pt>
                <c:pt idx="26">
                  <c:v>48.8</c:v>
                </c:pt>
                <c:pt idx="27">
                  <c:v>44.5</c:v>
                </c:pt>
                <c:pt idx="28">
                  <c:v>40.375</c:v>
                </c:pt>
                <c:pt idx="29">
                  <c:v>36.450000000000003</c:v>
                </c:pt>
                <c:pt idx="30">
                  <c:v>32.625</c:v>
                </c:pt>
                <c:pt idx="31">
                  <c:v>29.024999999999999</c:v>
                </c:pt>
                <c:pt idx="32">
                  <c:v>25.75</c:v>
                </c:pt>
                <c:pt idx="33">
                  <c:v>22.524999999999999</c:v>
                </c:pt>
                <c:pt idx="34">
                  <c:v>19.649999999999999</c:v>
                </c:pt>
                <c:pt idx="35">
                  <c:v>17.05</c:v>
                </c:pt>
                <c:pt idx="36">
                  <c:v>14.625</c:v>
                </c:pt>
                <c:pt idx="37">
                  <c:v>12.475000000000001</c:v>
                </c:pt>
                <c:pt idx="38">
                  <c:v>10.574999999999999</c:v>
                </c:pt>
                <c:pt idx="39">
                  <c:v>8.875</c:v>
                </c:pt>
                <c:pt idx="40">
                  <c:v>7.45</c:v>
                </c:pt>
                <c:pt idx="41">
                  <c:v>6.2249999999999996</c:v>
                </c:pt>
                <c:pt idx="42">
                  <c:v>5.2</c:v>
                </c:pt>
                <c:pt idx="43">
                  <c:v>4.3499999999999996</c:v>
                </c:pt>
                <c:pt idx="44">
                  <c:v>3.5999999999999996</c:v>
                </c:pt>
                <c:pt idx="45">
                  <c:v>2.9750000000000001</c:v>
                </c:pt>
                <c:pt idx="46">
                  <c:v>2.4950000000000001</c:v>
                </c:pt>
                <c:pt idx="47">
                  <c:v>2.09</c:v>
                </c:pt>
                <c:pt idx="48">
                  <c:v>1.75</c:v>
                </c:pt>
                <c:pt idx="49">
                  <c:v>1.4750000000000001</c:v>
                </c:pt>
                <c:pt idx="50">
                  <c:v>1.2450000000000001</c:v>
                </c:pt>
                <c:pt idx="51">
                  <c:v>1.06</c:v>
                </c:pt>
                <c:pt idx="52">
                  <c:v>0.91</c:v>
                </c:pt>
                <c:pt idx="53">
                  <c:v>0.77500000000000002</c:v>
                </c:pt>
                <c:pt idx="54">
                  <c:v>0.66500000000000004</c:v>
                </c:pt>
                <c:pt idx="55">
                  <c:v>0.57499999999999996</c:v>
                </c:pt>
                <c:pt idx="56">
                  <c:v>0.495</c:v>
                </c:pt>
                <c:pt idx="57">
                  <c:v>0.435</c:v>
                </c:pt>
                <c:pt idx="58">
                  <c:v>0.375</c:v>
                </c:pt>
                <c:pt idx="59">
                  <c:v>0.33499999999999996</c:v>
                </c:pt>
                <c:pt idx="60">
                  <c:v>0.29000000000000004</c:v>
                </c:pt>
                <c:pt idx="61">
                  <c:v>0.255</c:v>
                </c:pt>
                <c:pt idx="62">
                  <c:v>0.22999999999999998</c:v>
                </c:pt>
                <c:pt idx="63">
                  <c:v>0.20500000000000002</c:v>
                </c:pt>
                <c:pt idx="64">
                  <c:v>0.185</c:v>
                </c:pt>
                <c:pt idx="65">
                  <c:v>0.16500000000000001</c:v>
                </c:pt>
                <c:pt idx="66">
                  <c:v>0.13500000000000001</c:v>
                </c:pt>
                <c:pt idx="67">
                  <c:v>0.125</c:v>
                </c:pt>
                <c:pt idx="68">
                  <c:v>0.11</c:v>
                </c:pt>
                <c:pt idx="69">
                  <c:v>0.1</c:v>
                </c:pt>
                <c:pt idx="70">
                  <c:v>0.09</c:v>
                </c:pt>
                <c:pt idx="71">
                  <c:v>8.4999999999999992E-2</c:v>
                </c:pt>
                <c:pt idx="72">
                  <c:v>7.5000000000000011E-2</c:v>
                </c:pt>
                <c:pt idx="73">
                  <c:v>6.5000000000000002E-2</c:v>
                </c:pt>
                <c:pt idx="74">
                  <c:v>5.5E-2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7C-4245-9A8A-764770CB4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635727"/>
        <c:axId val="83486239"/>
      </c:scatterChart>
      <c:valAx>
        <c:axId val="829635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86239"/>
        <c:crosses val="autoZero"/>
        <c:crossBetween val="midCat"/>
      </c:valAx>
      <c:valAx>
        <c:axId val="83486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6357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Volumen Calls - FB 17/12/2021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'NYSE - Equity'!$C$11:$C$85</c:f>
              <c:numCache>
                <c:formatCode>General</c:formatCode>
                <c:ptCount val="75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  <c:pt idx="11">
                  <c:v>205</c:v>
                </c:pt>
                <c:pt idx="12">
                  <c:v>210</c:v>
                </c:pt>
                <c:pt idx="13">
                  <c:v>215</c:v>
                </c:pt>
                <c:pt idx="14">
                  <c:v>220</c:v>
                </c:pt>
                <c:pt idx="15">
                  <c:v>225</c:v>
                </c:pt>
                <c:pt idx="16">
                  <c:v>230</c:v>
                </c:pt>
                <c:pt idx="17">
                  <c:v>235</c:v>
                </c:pt>
                <c:pt idx="18">
                  <c:v>240</c:v>
                </c:pt>
                <c:pt idx="19">
                  <c:v>245</c:v>
                </c:pt>
                <c:pt idx="20">
                  <c:v>250</c:v>
                </c:pt>
                <c:pt idx="21">
                  <c:v>255</c:v>
                </c:pt>
                <c:pt idx="22">
                  <c:v>260</c:v>
                </c:pt>
                <c:pt idx="23">
                  <c:v>265</c:v>
                </c:pt>
                <c:pt idx="24">
                  <c:v>270</c:v>
                </c:pt>
                <c:pt idx="25">
                  <c:v>275</c:v>
                </c:pt>
                <c:pt idx="26">
                  <c:v>280</c:v>
                </c:pt>
                <c:pt idx="27">
                  <c:v>285</c:v>
                </c:pt>
                <c:pt idx="28">
                  <c:v>290</c:v>
                </c:pt>
                <c:pt idx="29">
                  <c:v>295</c:v>
                </c:pt>
                <c:pt idx="30">
                  <c:v>300</c:v>
                </c:pt>
                <c:pt idx="31">
                  <c:v>305</c:v>
                </c:pt>
                <c:pt idx="32">
                  <c:v>310</c:v>
                </c:pt>
                <c:pt idx="33">
                  <c:v>315</c:v>
                </c:pt>
                <c:pt idx="34">
                  <c:v>320</c:v>
                </c:pt>
                <c:pt idx="35">
                  <c:v>325</c:v>
                </c:pt>
                <c:pt idx="36">
                  <c:v>330</c:v>
                </c:pt>
                <c:pt idx="37">
                  <c:v>335</c:v>
                </c:pt>
                <c:pt idx="38">
                  <c:v>340</c:v>
                </c:pt>
                <c:pt idx="39">
                  <c:v>345</c:v>
                </c:pt>
                <c:pt idx="40">
                  <c:v>350</c:v>
                </c:pt>
                <c:pt idx="41">
                  <c:v>355</c:v>
                </c:pt>
                <c:pt idx="42">
                  <c:v>360</c:v>
                </c:pt>
                <c:pt idx="43">
                  <c:v>365</c:v>
                </c:pt>
                <c:pt idx="44">
                  <c:v>370</c:v>
                </c:pt>
                <c:pt idx="45">
                  <c:v>375</c:v>
                </c:pt>
                <c:pt idx="46">
                  <c:v>380</c:v>
                </c:pt>
                <c:pt idx="47">
                  <c:v>385</c:v>
                </c:pt>
                <c:pt idx="48">
                  <c:v>390</c:v>
                </c:pt>
                <c:pt idx="49">
                  <c:v>395</c:v>
                </c:pt>
                <c:pt idx="50">
                  <c:v>400</c:v>
                </c:pt>
                <c:pt idx="51">
                  <c:v>405</c:v>
                </c:pt>
                <c:pt idx="52">
                  <c:v>410</c:v>
                </c:pt>
                <c:pt idx="53">
                  <c:v>415</c:v>
                </c:pt>
                <c:pt idx="54">
                  <c:v>420</c:v>
                </c:pt>
                <c:pt idx="55">
                  <c:v>425</c:v>
                </c:pt>
                <c:pt idx="56">
                  <c:v>430</c:v>
                </c:pt>
                <c:pt idx="57">
                  <c:v>435</c:v>
                </c:pt>
                <c:pt idx="58">
                  <c:v>440</c:v>
                </c:pt>
                <c:pt idx="59">
                  <c:v>445</c:v>
                </c:pt>
                <c:pt idx="60">
                  <c:v>450</c:v>
                </c:pt>
                <c:pt idx="61">
                  <c:v>455</c:v>
                </c:pt>
                <c:pt idx="62">
                  <c:v>460</c:v>
                </c:pt>
                <c:pt idx="63">
                  <c:v>465</c:v>
                </c:pt>
                <c:pt idx="64">
                  <c:v>470</c:v>
                </c:pt>
                <c:pt idx="65">
                  <c:v>475</c:v>
                </c:pt>
                <c:pt idx="66">
                  <c:v>480</c:v>
                </c:pt>
                <c:pt idx="67">
                  <c:v>485</c:v>
                </c:pt>
                <c:pt idx="68">
                  <c:v>490</c:v>
                </c:pt>
                <c:pt idx="69">
                  <c:v>495</c:v>
                </c:pt>
                <c:pt idx="70">
                  <c:v>500</c:v>
                </c:pt>
                <c:pt idx="71">
                  <c:v>505</c:v>
                </c:pt>
                <c:pt idx="72">
                  <c:v>510</c:v>
                </c:pt>
                <c:pt idx="73">
                  <c:v>515</c:v>
                </c:pt>
                <c:pt idx="74">
                  <c:v>520</c:v>
                </c:pt>
              </c:numCache>
            </c:numRef>
          </c:xVal>
          <c:yVal>
            <c:numRef>
              <c:f>'NYSE - Equity'!$I$11:$I$85</c:f>
              <c:numCache>
                <c:formatCode>General</c:formatCode>
                <c:ptCount val="75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5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1</c:v>
                </c:pt>
                <c:pt idx="13">
                  <c:v>5</c:v>
                </c:pt>
                <c:pt idx="14">
                  <c:v>9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1</c:v>
                </c:pt>
                <c:pt idx="19">
                  <c:v>7</c:v>
                </c:pt>
                <c:pt idx="20">
                  <c:v>2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2</c:v>
                </c:pt>
                <c:pt idx="27">
                  <c:v>70</c:v>
                </c:pt>
                <c:pt idx="28">
                  <c:v>19</c:v>
                </c:pt>
                <c:pt idx="29">
                  <c:v>22</c:v>
                </c:pt>
                <c:pt idx="30">
                  <c:v>48</c:v>
                </c:pt>
                <c:pt idx="31">
                  <c:v>42</c:v>
                </c:pt>
                <c:pt idx="32">
                  <c:v>84</c:v>
                </c:pt>
                <c:pt idx="33">
                  <c:v>224</c:v>
                </c:pt>
                <c:pt idx="34">
                  <c:v>495</c:v>
                </c:pt>
                <c:pt idx="35">
                  <c:v>848</c:v>
                </c:pt>
                <c:pt idx="36">
                  <c:v>906</c:v>
                </c:pt>
                <c:pt idx="37">
                  <c:v>277</c:v>
                </c:pt>
                <c:pt idx="38">
                  <c:v>415</c:v>
                </c:pt>
                <c:pt idx="39">
                  <c:v>420</c:v>
                </c:pt>
                <c:pt idx="40" formatCode="#,##0">
                  <c:v>1917</c:v>
                </c:pt>
                <c:pt idx="41">
                  <c:v>193</c:v>
                </c:pt>
                <c:pt idx="42">
                  <c:v>431</c:v>
                </c:pt>
                <c:pt idx="43">
                  <c:v>357</c:v>
                </c:pt>
                <c:pt idx="44" formatCode="#,##0">
                  <c:v>1290</c:v>
                </c:pt>
                <c:pt idx="45">
                  <c:v>250</c:v>
                </c:pt>
                <c:pt idx="46">
                  <c:v>515</c:v>
                </c:pt>
                <c:pt idx="47">
                  <c:v>167</c:v>
                </c:pt>
                <c:pt idx="48">
                  <c:v>363</c:v>
                </c:pt>
                <c:pt idx="49">
                  <c:v>67</c:v>
                </c:pt>
                <c:pt idx="50">
                  <c:v>304</c:v>
                </c:pt>
                <c:pt idx="51">
                  <c:v>93</c:v>
                </c:pt>
                <c:pt idx="52">
                  <c:v>31</c:v>
                </c:pt>
                <c:pt idx="53">
                  <c:v>2</c:v>
                </c:pt>
                <c:pt idx="54">
                  <c:v>54</c:v>
                </c:pt>
                <c:pt idx="55">
                  <c:v>1</c:v>
                </c:pt>
                <c:pt idx="56">
                  <c:v>9</c:v>
                </c:pt>
                <c:pt idx="57">
                  <c:v>4</c:v>
                </c:pt>
                <c:pt idx="58">
                  <c:v>4</c:v>
                </c:pt>
                <c:pt idx="59">
                  <c:v>3</c:v>
                </c:pt>
                <c:pt idx="60">
                  <c:v>21</c:v>
                </c:pt>
                <c:pt idx="61">
                  <c:v>2</c:v>
                </c:pt>
                <c:pt idx="62">
                  <c:v>1</c:v>
                </c:pt>
                <c:pt idx="63">
                  <c:v>14</c:v>
                </c:pt>
                <c:pt idx="64">
                  <c:v>8</c:v>
                </c:pt>
                <c:pt idx="65">
                  <c:v>50</c:v>
                </c:pt>
                <c:pt idx="66">
                  <c:v>10</c:v>
                </c:pt>
                <c:pt idx="67">
                  <c:v>5</c:v>
                </c:pt>
                <c:pt idx="68">
                  <c:v>14</c:v>
                </c:pt>
                <c:pt idx="69">
                  <c:v>164</c:v>
                </c:pt>
                <c:pt idx="70">
                  <c:v>15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D1-4367-A63B-B6981CF0B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635727"/>
        <c:axId val="83486239"/>
      </c:scatterChart>
      <c:valAx>
        <c:axId val="829635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86239"/>
        <c:crosses val="autoZero"/>
        <c:crossBetween val="midCat"/>
      </c:valAx>
      <c:valAx>
        <c:axId val="83486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6357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Open Interest Calls - FB 9/11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'NYSE - Equity'!$C$11:$C$85</c:f>
              <c:numCache>
                <c:formatCode>General</c:formatCode>
                <c:ptCount val="75"/>
                <c:pt idx="0">
                  <c:v>150</c:v>
                </c:pt>
                <c:pt idx="1">
                  <c:v>155</c:v>
                </c:pt>
                <c:pt idx="2">
                  <c:v>160</c:v>
                </c:pt>
                <c:pt idx="3">
                  <c:v>165</c:v>
                </c:pt>
                <c:pt idx="4">
                  <c:v>170</c:v>
                </c:pt>
                <c:pt idx="5">
                  <c:v>175</c:v>
                </c:pt>
                <c:pt idx="6">
                  <c:v>180</c:v>
                </c:pt>
                <c:pt idx="7">
                  <c:v>185</c:v>
                </c:pt>
                <c:pt idx="8">
                  <c:v>190</c:v>
                </c:pt>
                <c:pt idx="9">
                  <c:v>195</c:v>
                </c:pt>
                <c:pt idx="10">
                  <c:v>200</c:v>
                </c:pt>
                <c:pt idx="11">
                  <c:v>205</c:v>
                </c:pt>
                <c:pt idx="12">
                  <c:v>210</c:v>
                </c:pt>
                <c:pt idx="13">
                  <c:v>215</c:v>
                </c:pt>
                <c:pt idx="14">
                  <c:v>220</c:v>
                </c:pt>
                <c:pt idx="15">
                  <c:v>225</c:v>
                </c:pt>
                <c:pt idx="16">
                  <c:v>230</c:v>
                </c:pt>
                <c:pt idx="17">
                  <c:v>235</c:v>
                </c:pt>
                <c:pt idx="18">
                  <c:v>240</c:v>
                </c:pt>
                <c:pt idx="19">
                  <c:v>245</c:v>
                </c:pt>
                <c:pt idx="20">
                  <c:v>250</c:v>
                </c:pt>
                <c:pt idx="21">
                  <c:v>255</c:v>
                </c:pt>
                <c:pt idx="22">
                  <c:v>260</c:v>
                </c:pt>
                <c:pt idx="23">
                  <c:v>265</c:v>
                </c:pt>
                <c:pt idx="24">
                  <c:v>270</c:v>
                </c:pt>
                <c:pt idx="25">
                  <c:v>275</c:v>
                </c:pt>
                <c:pt idx="26">
                  <c:v>280</c:v>
                </c:pt>
                <c:pt idx="27">
                  <c:v>285</c:v>
                </c:pt>
                <c:pt idx="28">
                  <c:v>290</c:v>
                </c:pt>
                <c:pt idx="29">
                  <c:v>295</c:v>
                </c:pt>
                <c:pt idx="30">
                  <c:v>300</c:v>
                </c:pt>
                <c:pt idx="31">
                  <c:v>305</c:v>
                </c:pt>
                <c:pt idx="32">
                  <c:v>310</c:v>
                </c:pt>
                <c:pt idx="33">
                  <c:v>315</c:v>
                </c:pt>
                <c:pt idx="34">
                  <c:v>320</c:v>
                </c:pt>
                <c:pt idx="35">
                  <c:v>325</c:v>
                </c:pt>
                <c:pt idx="36">
                  <c:v>330</c:v>
                </c:pt>
                <c:pt idx="37">
                  <c:v>335</c:v>
                </c:pt>
                <c:pt idx="38">
                  <c:v>340</c:v>
                </c:pt>
                <c:pt idx="39">
                  <c:v>345</c:v>
                </c:pt>
                <c:pt idx="40">
                  <c:v>350</c:v>
                </c:pt>
                <c:pt idx="41">
                  <c:v>355</c:v>
                </c:pt>
                <c:pt idx="42">
                  <c:v>360</c:v>
                </c:pt>
                <c:pt idx="43">
                  <c:v>365</c:v>
                </c:pt>
                <c:pt idx="44">
                  <c:v>370</c:v>
                </c:pt>
                <c:pt idx="45">
                  <c:v>375</c:v>
                </c:pt>
                <c:pt idx="46">
                  <c:v>380</c:v>
                </c:pt>
                <c:pt idx="47">
                  <c:v>385</c:v>
                </c:pt>
                <c:pt idx="48">
                  <c:v>390</c:v>
                </c:pt>
                <c:pt idx="49">
                  <c:v>395</c:v>
                </c:pt>
                <c:pt idx="50">
                  <c:v>400</c:v>
                </c:pt>
                <c:pt idx="51">
                  <c:v>405</c:v>
                </c:pt>
                <c:pt idx="52">
                  <c:v>410</c:v>
                </c:pt>
                <c:pt idx="53">
                  <c:v>415</c:v>
                </c:pt>
                <c:pt idx="54">
                  <c:v>420</c:v>
                </c:pt>
                <c:pt idx="55">
                  <c:v>425</c:v>
                </c:pt>
                <c:pt idx="56">
                  <c:v>430</c:v>
                </c:pt>
                <c:pt idx="57">
                  <c:v>435</c:v>
                </c:pt>
                <c:pt idx="58">
                  <c:v>440</c:v>
                </c:pt>
                <c:pt idx="59">
                  <c:v>445</c:v>
                </c:pt>
                <c:pt idx="60">
                  <c:v>450</c:v>
                </c:pt>
                <c:pt idx="61">
                  <c:v>455</c:v>
                </c:pt>
                <c:pt idx="62">
                  <c:v>460</c:v>
                </c:pt>
                <c:pt idx="63">
                  <c:v>465</c:v>
                </c:pt>
                <c:pt idx="64">
                  <c:v>470</c:v>
                </c:pt>
                <c:pt idx="65">
                  <c:v>475</c:v>
                </c:pt>
                <c:pt idx="66">
                  <c:v>480</c:v>
                </c:pt>
                <c:pt idx="67">
                  <c:v>485</c:v>
                </c:pt>
                <c:pt idx="68">
                  <c:v>490</c:v>
                </c:pt>
                <c:pt idx="69">
                  <c:v>495</c:v>
                </c:pt>
                <c:pt idx="70">
                  <c:v>500</c:v>
                </c:pt>
                <c:pt idx="71">
                  <c:v>505</c:v>
                </c:pt>
                <c:pt idx="72">
                  <c:v>510</c:v>
                </c:pt>
                <c:pt idx="73">
                  <c:v>515</c:v>
                </c:pt>
                <c:pt idx="74">
                  <c:v>520</c:v>
                </c:pt>
              </c:numCache>
            </c:numRef>
          </c:xVal>
          <c:yVal>
            <c:numRef>
              <c:f>'NYSE - Equity'!$J$11:$J$85</c:f>
              <c:numCache>
                <c:formatCode>General</c:formatCode>
                <c:ptCount val="75"/>
                <c:pt idx="0">
                  <c:v>16</c:v>
                </c:pt>
                <c:pt idx="1">
                  <c:v>7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8</c:v>
                </c:pt>
                <c:pt idx="6">
                  <c:v>5</c:v>
                </c:pt>
                <c:pt idx="7">
                  <c:v>3</c:v>
                </c:pt>
                <c:pt idx="8">
                  <c:v>4</c:v>
                </c:pt>
                <c:pt idx="9">
                  <c:v>18</c:v>
                </c:pt>
                <c:pt idx="10">
                  <c:v>57</c:v>
                </c:pt>
                <c:pt idx="11">
                  <c:v>19</c:v>
                </c:pt>
                <c:pt idx="12">
                  <c:v>38</c:v>
                </c:pt>
                <c:pt idx="13">
                  <c:v>33</c:v>
                </c:pt>
                <c:pt idx="14">
                  <c:v>110</c:v>
                </c:pt>
                <c:pt idx="15">
                  <c:v>19</c:v>
                </c:pt>
                <c:pt idx="16">
                  <c:v>248</c:v>
                </c:pt>
                <c:pt idx="17">
                  <c:v>7</c:v>
                </c:pt>
                <c:pt idx="18">
                  <c:v>444</c:v>
                </c:pt>
                <c:pt idx="19">
                  <c:v>247</c:v>
                </c:pt>
                <c:pt idx="20">
                  <c:v>304</c:v>
                </c:pt>
                <c:pt idx="21">
                  <c:v>33</c:v>
                </c:pt>
                <c:pt idx="22">
                  <c:v>45</c:v>
                </c:pt>
                <c:pt idx="23">
                  <c:v>56</c:v>
                </c:pt>
                <c:pt idx="24">
                  <c:v>370</c:v>
                </c:pt>
                <c:pt idx="25">
                  <c:v>196</c:v>
                </c:pt>
                <c:pt idx="26">
                  <c:v>254</c:v>
                </c:pt>
                <c:pt idx="27" formatCode="#,##0">
                  <c:v>1051</c:v>
                </c:pt>
                <c:pt idx="28" formatCode="#,##0">
                  <c:v>1035</c:v>
                </c:pt>
                <c:pt idx="29">
                  <c:v>426</c:v>
                </c:pt>
                <c:pt idx="30">
                  <c:v>941</c:v>
                </c:pt>
                <c:pt idx="31" formatCode="#,##0">
                  <c:v>2944</c:v>
                </c:pt>
                <c:pt idx="32">
                  <c:v>471</c:v>
                </c:pt>
                <c:pt idx="33">
                  <c:v>576</c:v>
                </c:pt>
                <c:pt idx="34" formatCode="#,##0">
                  <c:v>2613</c:v>
                </c:pt>
                <c:pt idx="35" formatCode="#,##0">
                  <c:v>6974</c:v>
                </c:pt>
                <c:pt idx="36" formatCode="#,##0">
                  <c:v>20320</c:v>
                </c:pt>
                <c:pt idx="37" formatCode="#,##0">
                  <c:v>8268</c:v>
                </c:pt>
                <c:pt idx="38" formatCode="#,##0">
                  <c:v>9682</c:v>
                </c:pt>
                <c:pt idx="39" formatCode="#,##0">
                  <c:v>9881</c:v>
                </c:pt>
                <c:pt idx="40" formatCode="#,##0">
                  <c:v>17416</c:v>
                </c:pt>
                <c:pt idx="41" formatCode="#,##0">
                  <c:v>2962</c:v>
                </c:pt>
                <c:pt idx="42" formatCode="#,##0">
                  <c:v>8044</c:v>
                </c:pt>
                <c:pt idx="43" formatCode="#,##0">
                  <c:v>7199</c:v>
                </c:pt>
                <c:pt idx="44" formatCode="#,##0">
                  <c:v>8693</c:v>
                </c:pt>
                <c:pt idx="45" formatCode="#,##0">
                  <c:v>6754</c:v>
                </c:pt>
                <c:pt idx="46" formatCode="#,##0">
                  <c:v>3718</c:v>
                </c:pt>
                <c:pt idx="47" formatCode="#,##0">
                  <c:v>1583</c:v>
                </c:pt>
                <c:pt idx="48" formatCode="#,##0">
                  <c:v>7895</c:v>
                </c:pt>
                <c:pt idx="49" formatCode="#,##0">
                  <c:v>1122</c:v>
                </c:pt>
                <c:pt idx="50" formatCode="#,##0">
                  <c:v>3164</c:v>
                </c:pt>
                <c:pt idx="51" formatCode="#,##0">
                  <c:v>1062</c:v>
                </c:pt>
                <c:pt idx="52">
                  <c:v>951</c:v>
                </c:pt>
                <c:pt idx="53">
                  <c:v>97</c:v>
                </c:pt>
                <c:pt idx="54" formatCode="#,##0">
                  <c:v>4550</c:v>
                </c:pt>
                <c:pt idx="55">
                  <c:v>201</c:v>
                </c:pt>
                <c:pt idx="56" formatCode="#,##0">
                  <c:v>1659</c:v>
                </c:pt>
                <c:pt idx="57">
                  <c:v>88</c:v>
                </c:pt>
                <c:pt idx="58">
                  <c:v>773</c:v>
                </c:pt>
                <c:pt idx="59">
                  <c:v>70</c:v>
                </c:pt>
                <c:pt idx="60">
                  <c:v>924</c:v>
                </c:pt>
                <c:pt idx="61">
                  <c:v>330</c:v>
                </c:pt>
                <c:pt idx="62" formatCode="#,##0">
                  <c:v>1084</c:v>
                </c:pt>
                <c:pt idx="63">
                  <c:v>17</c:v>
                </c:pt>
                <c:pt idx="64">
                  <c:v>439</c:v>
                </c:pt>
                <c:pt idx="65">
                  <c:v>50</c:v>
                </c:pt>
                <c:pt idx="66">
                  <c:v>839</c:v>
                </c:pt>
                <c:pt idx="67">
                  <c:v>6</c:v>
                </c:pt>
                <c:pt idx="68">
                  <c:v>911</c:v>
                </c:pt>
                <c:pt idx="69">
                  <c:v>137</c:v>
                </c:pt>
                <c:pt idx="70">
                  <c:v>486</c:v>
                </c:pt>
                <c:pt idx="71">
                  <c:v>4</c:v>
                </c:pt>
                <c:pt idx="72">
                  <c:v>64</c:v>
                </c:pt>
                <c:pt idx="73">
                  <c:v>12</c:v>
                </c:pt>
                <c:pt idx="74">
                  <c:v>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44-44A5-910F-E45C38206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635727"/>
        <c:axId val="83486239"/>
      </c:scatterChart>
      <c:valAx>
        <c:axId val="829635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86239"/>
        <c:crosses val="autoZero"/>
        <c:crossBetween val="midCat"/>
      </c:valAx>
      <c:valAx>
        <c:axId val="83486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6357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Precio</a:t>
            </a:r>
            <a:r>
              <a:rPr lang="en-US" baseline="0"/>
              <a:t> </a:t>
            </a:r>
            <a:r>
              <a:rPr lang="en-US"/>
              <a:t>Calls - Soybean ENE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'CME - Futuro Soja'!$I$65:$I$160</c:f>
              <c:strCache>
                <c:ptCount val="95"/>
                <c:pt idx="0">
                  <c:v>6'3</c:v>
                </c:pt>
                <c:pt idx="2">
                  <c:v>8'0</c:v>
                </c:pt>
                <c:pt idx="4">
                  <c:v>10'6</c:v>
                </c:pt>
                <c:pt idx="6">
                  <c:v>13'7</c:v>
                </c:pt>
                <c:pt idx="8">
                  <c:v>17'4</c:v>
                </c:pt>
                <c:pt idx="10">
                  <c:v>23'2</c:v>
                </c:pt>
                <c:pt idx="12">
                  <c:v>27'0</c:v>
                </c:pt>
                <c:pt idx="14">
                  <c:v>35'7</c:v>
                </c:pt>
                <c:pt idx="16">
                  <c:v>-</c:v>
                </c:pt>
                <c:pt idx="18">
                  <c:v>46'4</c:v>
                </c:pt>
                <c:pt idx="20">
                  <c:v>-</c:v>
                </c:pt>
                <c:pt idx="22">
                  <c:v>63'7</c:v>
                </c:pt>
                <c:pt idx="24">
                  <c:v>73'1</c:v>
                </c:pt>
                <c:pt idx="26">
                  <c:v>-</c:v>
                </c:pt>
                <c:pt idx="28">
                  <c:v>93'4</c:v>
                </c:pt>
                <c:pt idx="30">
                  <c:v>-</c:v>
                </c:pt>
                <c:pt idx="32">
                  <c:v>-</c:v>
                </c:pt>
                <c:pt idx="34">
                  <c:v>-</c:v>
                </c:pt>
                <c:pt idx="36">
                  <c:v>-</c:v>
                </c:pt>
                <c:pt idx="38">
                  <c:v>-</c:v>
                </c:pt>
                <c:pt idx="40">
                  <c:v>-</c:v>
                </c:pt>
                <c:pt idx="42">
                  <c:v>160'1</c:v>
                </c:pt>
                <c:pt idx="44">
                  <c:v>168'4</c:v>
                </c:pt>
                <c:pt idx="46">
                  <c:v>-</c:v>
                </c:pt>
                <c:pt idx="48">
                  <c:v>-</c:v>
                </c:pt>
                <c:pt idx="50">
                  <c:v>-</c:v>
                </c:pt>
                <c:pt idx="52">
                  <c:v>-</c:v>
                </c:pt>
                <c:pt idx="54">
                  <c:v>-</c:v>
                </c:pt>
                <c:pt idx="56">
                  <c:v>-</c:v>
                </c:pt>
                <c:pt idx="58">
                  <c:v>-</c:v>
                </c:pt>
                <c:pt idx="60">
                  <c:v>-</c:v>
                </c:pt>
                <c:pt idx="62">
                  <c:v>-</c:v>
                </c:pt>
                <c:pt idx="64">
                  <c:v>-</c:v>
                </c:pt>
                <c:pt idx="66">
                  <c:v>-</c:v>
                </c:pt>
                <c:pt idx="68">
                  <c:v>-</c:v>
                </c:pt>
                <c:pt idx="70">
                  <c:v>-</c:v>
                </c:pt>
                <c:pt idx="72">
                  <c:v>-</c:v>
                </c:pt>
                <c:pt idx="74">
                  <c:v>-</c:v>
                </c:pt>
                <c:pt idx="76">
                  <c:v>-</c:v>
                </c:pt>
                <c:pt idx="78">
                  <c:v>-</c:v>
                </c:pt>
                <c:pt idx="80">
                  <c:v>-</c:v>
                </c:pt>
                <c:pt idx="82">
                  <c:v>-</c:v>
                </c:pt>
                <c:pt idx="84">
                  <c:v>-</c:v>
                </c:pt>
                <c:pt idx="86">
                  <c:v>-</c:v>
                </c:pt>
                <c:pt idx="88">
                  <c:v>-</c:v>
                </c:pt>
                <c:pt idx="90">
                  <c:v>-</c:v>
                </c:pt>
                <c:pt idx="92">
                  <c:v>-</c:v>
                </c:pt>
                <c:pt idx="94">
                  <c:v>-</c:v>
                </c:pt>
              </c:strCache>
            </c:strRef>
          </c:xVal>
          <c:yVal>
            <c:numRef>
              <c:f>'CME - Futuro Soja'!$H$65:$H$160</c:f>
              <c:numCache>
                <c:formatCode>General</c:formatCode>
                <c:ptCount val="96"/>
                <c:pt idx="0">
                  <c:v>1190</c:v>
                </c:pt>
                <c:pt idx="2">
                  <c:v>1200</c:v>
                </c:pt>
                <c:pt idx="4">
                  <c:v>1210</c:v>
                </c:pt>
                <c:pt idx="6">
                  <c:v>1220</c:v>
                </c:pt>
                <c:pt idx="8">
                  <c:v>1230</c:v>
                </c:pt>
                <c:pt idx="10">
                  <c:v>1240</c:v>
                </c:pt>
                <c:pt idx="12">
                  <c:v>1250</c:v>
                </c:pt>
                <c:pt idx="14">
                  <c:v>1260</c:v>
                </c:pt>
                <c:pt idx="16">
                  <c:v>1270</c:v>
                </c:pt>
                <c:pt idx="18">
                  <c:v>1280</c:v>
                </c:pt>
                <c:pt idx="20">
                  <c:v>1290</c:v>
                </c:pt>
                <c:pt idx="22">
                  <c:v>1300</c:v>
                </c:pt>
                <c:pt idx="24">
                  <c:v>1310</c:v>
                </c:pt>
                <c:pt idx="26">
                  <c:v>1320</c:v>
                </c:pt>
                <c:pt idx="28">
                  <c:v>1330</c:v>
                </c:pt>
                <c:pt idx="30">
                  <c:v>1340</c:v>
                </c:pt>
                <c:pt idx="32">
                  <c:v>1350</c:v>
                </c:pt>
                <c:pt idx="34">
                  <c:v>1360</c:v>
                </c:pt>
                <c:pt idx="36">
                  <c:v>1370</c:v>
                </c:pt>
                <c:pt idx="38">
                  <c:v>1380</c:v>
                </c:pt>
                <c:pt idx="40">
                  <c:v>1390</c:v>
                </c:pt>
                <c:pt idx="42">
                  <c:v>1400</c:v>
                </c:pt>
                <c:pt idx="44">
                  <c:v>1410</c:v>
                </c:pt>
                <c:pt idx="46">
                  <c:v>1420</c:v>
                </c:pt>
                <c:pt idx="48">
                  <c:v>1430</c:v>
                </c:pt>
                <c:pt idx="50">
                  <c:v>1440</c:v>
                </c:pt>
                <c:pt idx="52">
                  <c:v>1450</c:v>
                </c:pt>
                <c:pt idx="54">
                  <c:v>1460</c:v>
                </c:pt>
                <c:pt idx="56">
                  <c:v>1470</c:v>
                </c:pt>
                <c:pt idx="58">
                  <c:v>1480</c:v>
                </c:pt>
                <c:pt idx="60">
                  <c:v>1490</c:v>
                </c:pt>
                <c:pt idx="62">
                  <c:v>1500</c:v>
                </c:pt>
                <c:pt idx="64">
                  <c:v>1510</c:v>
                </c:pt>
                <c:pt idx="66">
                  <c:v>1520</c:v>
                </c:pt>
                <c:pt idx="68">
                  <c:v>1530</c:v>
                </c:pt>
                <c:pt idx="70">
                  <c:v>1540</c:v>
                </c:pt>
                <c:pt idx="72">
                  <c:v>1550</c:v>
                </c:pt>
                <c:pt idx="74">
                  <c:v>1560</c:v>
                </c:pt>
                <c:pt idx="76">
                  <c:v>1570</c:v>
                </c:pt>
                <c:pt idx="78">
                  <c:v>1580</c:v>
                </c:pt>
                <c:pt idx="80">
                  <c:v>1590</c:v>
                </c:pt>
                <c:pt idx="82">
                  <c:v>1600</c:v>
                </c:pt>
                <c:pt idx="84">
                  <c:v>1610</c:v>
                </c:pt>
                <c:pt idx="86">
                  <c:v>1620</c:v>
                </c:pt>
                <c:pt idx="88">
                  <c:v>1630</c:v>
                </c:pt>
                <c:pt idx="90">
                  <c:v>1640</c:v>
                </c:pt>
                <c:pt idx="92">
                  <c:v>1650</c:v>
                </c:pt>
                <c:pt idx="94">
                  <c:v>1660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A-48E5-B3F1-C300724BBCF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'CME - Futuro Soja'!$H$43:$H$156</c:f>
              <c:numCache>
                <c:formatCode>General</c:formatCode>
                <c:ptCount val="114"/>
                <c:pt idx="0">
                  <c:v>1080</c:v>
                </c:pt>
                <c:pt idx="2">
                  <c:v>1090</c:v>
                </c:pt>
                <c:pt idx="4">
                  <c:v>1100</c:v>
                </c:pt>
                <c:pt idx="6">
                  <c:v>1110</c:v>
                </c:pt>
                <c:pt idx="8">
                  <c:v>1120</c:v>
                </c:pt>
                <c:pt idx="10">
                  <c:v>1130</c:v>
                </c:pt>
                <c:pt idx="12">
                  <c:v>1140</c:v>
                </c:pt>
                <c:pt idx="14">
                  <c:v>1150</c:v>
                </c:pt>
                <c:pt idx="16">
                  <c:v>1160</c:v>
                </c:pt>
                <c:pt idx="18">
                  <c:v>1170</c:v>
                </c:pt>
                <c:pt idx="20">
                  <c:v>1180</c:v>
                </c:pt>
                <c:pt idx="22">
                  <c:v>1190</c:v>
                </c:pt>
                <c:pt idx="24">
                  <c:v>1200</c:v>
                </c:pt>
                <c:pt idx="26">
                  <c:v>1210</c:v>
                </c:pt>
                <c:pt idx="28">
                  <c:v>1220</c:v>
                </c:pt>
                <c:pt idx="30">
                  <c:v>1230</c:v>
                </c:pt>
                <c:pt idx="32">
                  <c:v>1240</c:v>
                </c:pt>
                <c:pt idx="34">
                  <c:v>1250</c:v>
                </c:pt>
                <c:pt idx="36">
                  <c:v>1260</c:v>
                </c:pt>
                <c:pt idx="38">
                  <c:v>1270</c:v>
                </c:pt>
                <c:pt idx="40">
                  <c:v>1280</c:v>
                </c:pt>
                <c:pt idx="42">
                  <c:v>1290</c:v>
                </c:pt>
                <c:pt idx="44">
                  <c:v>1300</c:v>
                </c:pt>
                <c:pt idx="46">
                  <c:v>1310</c:v>
                </c:pt>
                <c:pt idx="48">
                  <c:v>1320</c:v>
                </c:pt>
                <c:pt idx="50">
                  <c:v>1330</c:v>
                </c:pt>
                <c:pt idx="52">
                  <c:v>1340</c:v>
                </c:pt>
                <c:pt idx="54">
                  <c:v>1350</c:v>
                </c:pt>
                <c:pt idx="56">
                  <c:v>1360</c:v>
                </c:pt>
                <c:pt idx="58">
                  <c:v>1370</c:v>
                </c:pt>
                <c:pt idx="60">
                  <c:v>1380</c:v>
                </c:pt>
                <c:pt idx="62">
                  <c:v>1390</c:v>
                </c:pt>
                <c:pt idx="64">
                  <c:v>1400</c:v>
                </c:pt>
                <c:pt idx="66">
                  <c:v>1410</c:v>
                </c:pt>
                <c:pt idx="68">
                  <c:v>1420</c:v>
                </c:pt>
                <c:pt idx="70">
                  <c:v>1430</c:v>
                </c:pt>
                <c:pt idx="72">
                  <c:v>1440</c:v>
                </c:pt>
                <c:pt idx="74">
                  <c:v>1450</c:v>
                </c:pt>
                <c:pt idx="76">
                  <c:v>1460</c:v>
                </c:pt>
                <c:pt idx="78">
                  <c:v>1470</c:v>
                </c:pt>
                <c:pt idx="80">
                  <c:v>1480</c:v>
                </c:pt>
                <c:pt idx="82">
                  <c:v>1490</c:v>
                </c:pt>
                <c:pt idx="84">
                  <c:v>1500</c:v>
                </c:pt>
                <c:pt idx="86">
                  <c:v>1510</c:v>
                </c:pt>
                <c:pt idx="88">
                  <c:v>1520</c:v>
                </c:pt>
                <c:pt idx="90">
                  <c:v>1530</c:v>
                </c:pt>
                <c:pt idx="92">
                  <c:v>1540</c:v>
                </c:pt>
                <c:pt idx="94">
                  <c:v>1550</c:v>
                </c:pt>
                <c:pt idx="96">
                  <c:v>1560</c:v>
                </c:pt>
                <c:pt idx="98">
                  <c:v>1570</c:v>
                </c:pt>
                <c:pt idx="100">
                  <c:v>1580</c:v>
                </c:pt>
                <c:pt idx="102">
                  <c:v>1590</c:v>
                </c:pt>
                <c:pt idx="104">
                  <c:v>1600</c:v>
                </c:pt>
                <c:pt idx="106">
                  <c:v>1610</c:v>
                </c:pt>
                <c:pt idx="108">
                  <c:v>1620</c:v>
                </c:pt>
                <c:pt idx="110">
                  <c:v>1630</c:v>
                </c:pt>
                <c:pt idx="112">
                  <c:v>1640</c:v>
                </c:pt>
              </c:numCache>
            </c:numRef>
          </c:xVal>
          <c:yVal>
            <c:numRef>
              <c:f>'CME - Futuro Soja'!$G$43:$G$156</c:f>
              <c:numCache>
                <c:formatCode>General</c:formatCode>
                <c:ptCount val="114"/>
                <c:pt idx="0">
                  <c:v>161.19999999999999</c:v>
                </c:pt>
                <c:pt idx="2">
                  <c:v>149.19999999999999</c:v>
                </c:pt>
                <c:pt idx="4">
                  <c:v>139.30000000000001</c:v>
                </c:pt>
                <c:pt idx="6">
                  <c:v>133.30000000000001</c:v>
                </c:pt>
                <c:pt idx="8">
                  <c:v>123.3</c:v>
                </c:pt>
                <c:pt idx="10">
                  <c:v>0</c:v>
                </c:pt>
                <c:pt idx="12">
                  <c:v>103.5</c:v>
                </c:pt>
                <c:pt idx="14">
                  <c:v>0</c:v>
                </c:pt>
                <c:pt idx="16">
                  <c:v>0</c:v>
                </c:pt>
                <c:pt idx="18">
                  <c:v>73.599999999999994</c:v>
                </c:pt>
                <c:pt idx="20">
                  <c:v>65.400000000000006</c:v>
                </c:pt>
                <c:pt idx="22">
                  <c:v>56.3</c:v>
                </c:pt>
                <c:pt idx="24">
                  <c:v>0</c:v>
                </c:pt>
                <c:pt idx="26">
                  <c:v>44.6</c:v>
                </c:pt>
                <c:pt idx="28">
                  <c:v>28.7</c:v>
                </c:pt>
                <c:pt idx="30">
                  <c:v>31.1</c:v>
                </c:pt>
                <c:pt idx="32">
                  <c:v>25.4</c:v>
                </c:pt>
                <c:pt idx="34">
                  <c:v>21</c:v>
                </c:pt>
                <c:pt idx="36">
                  <c:v>17</c:v>
                </c:pt>
                <c:pt idx="38">
                  <c:v>13</c:v>
                </c:pt>
                <c:pt idx="40">
                  <c:v>10</c:v>
                </c:pt>
                <c:pt idx="42">
                  <c:v>7</c:v>
                </c:pt>
                <c:pt idx="44">
                  <c:v>5.7</c:v>
                </c:pt>
                <c:pt idx="46">
                  <c:v>4.5999999999999996</c:v>
                </c:pt>
                <c:pt idx="48">
                  <c:v>3.4</c:v>
                </c:pt>
                <c:pt idx="50">
                  <c:v>2.6</c:v>
                </c:pt>
                <c:pt idx="52">
                  <c:v>2.1</c:v>
                </c:pt>
                <c:pt idx="54">
                  <c:v>1.4</c:v>
                </c:pt>
                <c:pt idx="56">
                  <c:v>1.4</c:v>
                </c:pt>
                <c:pt idx="58">
                  <c:v>1.3</c:v>
                </c:pt>
                <c:pt idx="60">
                  <c:v>1</c:v>
                </c:pt>
                <c:pt idx="62">
                  <c:v>0.7</c:v>
                </c:pt>
                <c:pt idx="64">
                  <c:v>0.7</c:v>
                </c:pt>
                <c:pt idx="66">
                  <c:v>0.5</c:v>
                </c:pt>
                <c:pt idx="68">
                  <c:v>0.5</c:v>
                </c:pt>
                <c:pt idx="70">
                  <c:v>0</c:v>
                </c:pt>
                <c:pt idx="72">
                  <c:v>0</c:v>
                </c:pt>
                <c:pt idx="74">
                  <c:v>0</c:v>
                </c:pt>
                <c:pt idx="76">
                  <c:v>0</c:v>
                </c:pt>
                <c:pt idx="78">
                  <c:v>0</c:v>
                </c:pt>
                <c:pt idx="80">
                  <c:v>0.3</c:v>
                </c:pt>
                <c:pt idx="82">
                  <c:v>0</c:v>
                </c:pt>
                <c:pt idx="84">
                  <c:v>0</c:v>
                </c:pt>
                <c:pt idx="86">
                  <c:v>0</c:v>
                </c:pt>
                <c:pt idx="88">
                  <c:v>0</c:v>
                </c:pt>
                <c:pt idx="90">
                  <c:v>0</c:v>
                </c:pt>
                <c:pt idx="92">
                  <c:v>0</c:v>
                </c:pt>
                <c:pt idx="94">
                  <c:v>0</c:v>
                </c:pt>
                <c:pt idx="96">
                  <c:v>0</c:v>
                </c:pt>
                <c:pt idx="98">
                  <c:v>0</c:v>
                </c:pt>
                <c:pt idx="100">
                  <c:v>0</c:v>
                </c:pt>
                <c:pt idx="102">
                  <c:v>0</c:v>
                </c:pt>
                <c:pt idx="104">
                  <c:v>0</c:v>
                </c:pt>
                <c:pt idx="106">
                  <c:v>0</c:v>
                </c:pt>
                <c:pt idx="108">
                  <c:v>0</c:v>
                </c:pt>
                <c:pt idx="110">
                  <c:v>0</c:v>
                </c:pt>
                <c:pt idx="112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ED-437B-B4C3-B9874D829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461616"/>
        <c:axId val="2019734816"/>
      </c:scatterChart>
      <c:valAx>
        <c:axId val="2028461616"/>
        <c:scaling>
          <c:orientation val="minMax"/>
          <c:min val="7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734816"/>
        <c:crosses val="autoZero"/>
        <c:crossBetween val="midCat"/>
      </c:valAx>
      <c:valAx>
        <c:axId val="2019734816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461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Volumen Calls - Soybean ENE</a:t>
            </a:r>
            <a:r>
              <a:rPr lang="en-US" baseline="0"/>
              <a:t> 2022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'CME - Futuro Soja'!$I$65:$I$160</c:f>
              <c:strCache>
                <c:ptCount val="95"/>
                <c:pt idx="0">
                  <c:v>6'3</c:v>
                </c:pt>
                <c:pt idx="2">
                  <c:v>8'0</c:v>
                </c:pt>
                <c:pt idx="4">
                  <c:v>10'6</c:v>
                </c:pt>
                <c:pt idx="6">
                  <c:v>13'7</c:v>
                </c:pt>
                <c:pt idx="8">
                  <c:v>17'4</c:v>
                </c:pt>
                <c:pt idx="10">
                  <c:v>23'2</c:v>
                </c:pt>
                <c:pt idx="12">
                  <c:v>27'0</c:v>
                </c:pt>
                <c:pt idx="14">
                  <c:v>35'7</c:v>
                </c:pt>
                <c:pt idx="16">
                  <c:v>-</c:v>
                </c:pt>
                <c:pt idx="18">
                  <c:v>46'4</c:v>
                </c:pt>
                <c:pt idx="20">
                  <c:v>-</c:v>
                </c:pt>
                <c:pt idx="22">
                  <c:v>63'7</c:v>
                </c:pt>
                <c:pt idx="24">
                  <c:v>73'1</c:v>
                </c:pt>
                <c:pt idx="26">
                  <c:v>-</c:v>
                </c:pt>
                <c:pt idx="28">
                  <c:v>93'4</c:v>
                </c:pt>
                <c:pt idx="30">
                  <c:v>-</c:v>
                </c:pt>
                <c:pt idx="32">
                  <c:v>-</c:v>
                </c:pt>
                <c:pt idx="34">
                  <c:v>-</c:v>
                </c:pt>
                <c:pt idx="36">
                  <c:v>-</c:v>
                </c:pt>
                <c:pt idx="38">
                  <c:v>-</c:v>
                </c:pt>
                <c:pt idx="40">
                  <c:v>-</c:v>
                </c:pt>
                <c:pt idx="42">
                  <c:v>160'1</c:v>
                </c:pt>
                <c:pt idx="44">
                  <c:v>168'4</c:v>
                </c:pt>
                <c:pt idx="46">
                  <c:v>-</c:v>
                </c:pt>
                <c:pt idx="48">
                  <c:v>-</c:v>
                </c:pt>
                <c:pt idx="50">
                  <c:v>-</c:v>
                </c:pt>
                <c:pt idx="52">
                  <c:v>-</c:v>
                </c:pt>
                <c:pt idx="54">
                  <c:v>-</c:v>
                </c:pt>
                <c:pt idx="56">
                  <c:v>-</c:v>
                </c:pt>
                <c:pt idx="58">
                  <c:v>-</c:v>
                </c:pt>
                <c:pt idx="60">
                  <c:v>-</c:v>
                </c:pt>
                <c:pt idx="62">
                  <c:v>-</c:v>
                </c:pt>
                <c:pt idx="64">
                  <c:v>-</c:v>
                </c:pt>
                <c:pt idx="66">
                  <c:v>-</c:v>
                </c:pt>
                <c:pt idx="68">
                  <c:v>-</c:v>
                </c:pt>
                <c:pt idx="70">
                  <c:v>-</c:v>
                </c:pt>
                <c:pt idx="72">
                  <c:v>-</c:v>
                </c:pt>
                <c:pt idx="74">
                  <c:v>-</c:v>
                </c:pt>
                <c:pt idx="76">
                  <c:v>-</c:v>
                </c:pt>
                <c:pt idx="78">
                  <c:v>-</c:v>
                </c:pt>
                <c:pt idx="80">
                  <c:v>-</c:v>
                </c:pt>
                <c:pt idx="82">
                  <c:v>-</c:v>
                </c:pt>
                <c:pt idx="84">
                  <c:v>-</c:v>
                </c:pt>
                <c:pt idx="86">
                  <c:v>-</c:v>
                </c:pt>
                <c:pt idx="88">
                  <c:v>-</c:v>
                </c:pt>
                <c:pt idx="90">
                  <c:v>-</c:v>
                </c:pt>
                <c:pt idx="92">
                  <c:v>-</c:v>
                </c:pt>
                <c:pt idx="94">
                  <c:v>-</c:v>
                </c:pt>
              </c:strCache>
            </c:strRef>
          </c:xVal>
          <c:yVal>
            <c:numRef>
              <c:f>'CME - Futuro Soja'!$H$65:$H$160</c:f>
              <c:numCache>
                <c:formatCode>General</c:formatCode>
                <c:ptCount val="96"/>
                <c:pt idx="0">
                  <c:v>1190</c:v>
                </c:pt>
                <c:pt idx="2">
                  <c:v>1200</c:v>
                </c:pt>
                <c:pt idx="4">
                  <c:v>1210</c:v>
                </c:pt>
                <c:pt idx="6">
                  <c:v>1220</c:v>
                </c:pt>
                <c:pt idx="8">
                  <c:v>1230</c:v>
                </c:pt>
                <c:pt idx="10">
                  <c:v>1240</c:v>
                </c:pt>
                <c:pt idx="12">
                  <c:v>1250</c:v>
                </c:pt>
                <c:pt idx="14">
                  <c:v>1260</c:v>
                </c:pt>
                <c:pt idx="16">
                  <c:v>1270</c:v>
                </c:pt>
                <c:pt idx="18">
                  <c:v>1280</c:v>
                </c:pt>
                <c:pt idx="20">
                  <c:v>1290</c:v>
                </c:pt>
                <c:pt idx="22">
                  <c:v>1300</c:v>
                </c:pt>
                <c:pt idx="24">
                  <c:v>1310</c:v>
                </c:pt>
                <c:pt idx="26">
                  <c:v>1320</c:v>
                </c:pt>
                <c:pt idx="28">
                  <c:v>1330</c:v>
                </c:pt>
                <c:pt idx="30">
                  <c:v>1340</c:v>
                </c:pt>
                <c:pt idx="32">
                  <c:v>1350</c:v>
                </c:pt>
                <c:pt idx="34">
                  <c:v>1360</c:v>
                </c:pt>
                <c:pt idx="36">
                  <c:v>1370</c:v>
                </c:pt>
                <c:pt idx="38">
                  <c:v>1380</c:v>
                </c:pt>
                <c:pt idx="40">
                  <c:v>1390</c:v>
                </c:pt>
                <c:pt idx="42">
                  <c:v>1400</c:v>
                </c:pt>
                <c:pt idx="44">
                  <c:v>1410</c:v>
                </c:pt>
                <c:pt idx="46">
                  <c:v>1420</c:v>
                </c:pt>
                <c:pt idx="48">
                  <c:v>1430</c:v>
                </c:pt>
                <c:pt idx="50">
                  <c:v>1440</c:v>
                </c:pt>
                <c:pt idx="52">
                  <c:v>1450</c:v>
                </c:pt>
                <c:pt idx="54">
                  <c:v>1460</c:v>
                </c:pt>
                <c:pt idx="56">
                  <c:v>1470</c:v>
                </c:pt>
                <c:pt idx="58">
                  <c:v>1480</c:v>
                </c:pt>
                <c:pt idx="60">
                  <c:v>1490</c:v>
                </c:pt>
                <c:pt idx="62">
                  <c:v>1500</c:v>
                </c:pt>
                <c:pt idx="64">
                  <c:v>1510</c:v>
                </c:pt>
                <c:pt idx="66">
                  <c:v>1520</c:v>
                </c:pt>
                <c:pt idx="68">
                  <c:v>1530</c:v>
                </c:pt>
                <c:pt idx="70">
                  <c:v>1540</c:v>
                </c:pt>
                <c:pt idx="72">
                  <c:v>1550</c:v>
                </c:pt>
                <c:pt idx="74">
                  <c:v>1560</c:v>
                </c:pt>
                <c:pt idx="76">
                  <c:v>1570</c:v>
                </c:pt>
                <c:pt idx="78">
                  <c:v>1580</c:v>
                </c:pt>
                <c:pt idx="80">
                  <c:v>1590</c:v>
                </c:pt>
                <c:pt idx="82">
                  <c:v>1600</c:v>
                </c:pt>
                <c:pt idx="84">
                  <c:v>1610</c:v>
                </c:pt>
                <c:pt idx="86">
                  <c:v>1620</c:v>
                </c:pt>
                <c:pt idx="88">
                  <c:v>1630</c:v>
                </c:pt>
                <c:pt idx="90">
                  <c:v>1640</c:v>
                </c:pt>
                <c:pt idx="92">
                  <c:v>1650</c:v>
                </c:pt>
                <c:pt idx="94">
                  <c:v>1660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BD-4659-B608-1A0441C99490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'CME - Futuro Soja'!$H$43:$H$156</c:f>
              <c:numCache>
                <c:formatCode>General</c:formatCode>
                <c:ptCount val="114"/>
                <c:pt idx="0">
                  <c:v>1080</c:v>
                </c:pt>
                <c:pt idx="2">
                  <c:v>1090</c:v>
                </c:pt>
                <c:pt idx="4">
                  <c:v>1100</c:v>
                </c:pt>
                <c:pt idx="6">
                  <c:v>1110</c:v>
                </c:pt>
                <c:pt idx="8">
                  <c:v>1120</c:v>
                </c:pt>
                <c:pt idx="10">
                  <c:v>1130</c:v>
                </c:pt>
                <c:pt idx="12">
                  <c:v>1140</c:v>
                </c:pt>
                <c:pt idx="14">
                  <c:v>1150</c:v>
                </c:pt>
                <c:pt idx="16">
                  <c:v>1160</c:v>
                </c:pt>
                <c:pt idx="18">
                  <c:v>1170</c:v>
                </c:pt>
                <c:pt idx="20">
                  <c:v>1180</c:v>
                </c:pt>
                <c:pt idx="22">
                  <c:v>1190</c:v>
                </c:pt>
                <c:pt idx="24">
                  <c:v>1200</c:v>
                </c:pt>
                <c:pt idx="26">
                  <c:v>1210</c:v>
                </c:pt>
                <c:pt idx="28">
                  <c:v>1220</c:v>
                </c:pt>
                <c:pt idx="30">
                  <c:v>1230</c:v>
                </c:pt>
                <c:pt idx="32">
                  <c:v>1240</c:v>
                </c:pt>
                <c:pt idx="34">
                  <c:v>1250</c:v>
                </c:pt>
                <c:pt idx="36">
                  <c:v>1260</c:v>
                </c:pt>
                <c:pt idx="38">
                  <c:v>1270</c:v>
                </c:pt>
                <c:pt idx="40">
                  <c:v>1280</c:v>
                </c:pt>
                <c:pt idx="42">
                  <c:v>1290</c:v>
                </c:pt>
                <c:pt idx="44">
                  <c:v>1300</c:v>
                </c:pt>
                <c:pt idx="46">
                  <c:v>1310</c:v>
                </c:pt>
                <c:pt idx="48">
                  <c:v>1320</c:v>
                </c:pt>
                <c:pt idx="50">
                  <c:v>1330</c:v>
                </c:pt>
                <c:pt idx="52">
                  <c:v>1340</c:v>
                </c:pt>
                <c:pt idx="54">
                  <c:v>1350</c:v>
                </c:pt>
                <c:pt idx="56">
                  <c:v>1360</c:v>
                </c:pt>
                <c:pt idx="58">
                  <c:v>1370</c:v>
                </c:pt>
                <c:pt idx="60">
                  <c:v>1380</c:v>
                </c:pt>
                <c:pt idx="62">
                  <c:v>1390</c:v>
                </c:pt>
                <c:pt idx="64">
                  <c:v>1400</c:v>
                </c:pt>
                <c:pt idx="66">
                  <c:v>1410</c:v>
                </c:pt>
                <c:pt idx="68">
                  <c:v>1420</c:v>
                </c:pt>
                <c:pt idx="70">
                  <c:v>1430</c:v>
                </c:pt>
                <c:pt idx="72">
                  <c:v>1440</c:v>
                </c:pt>
                <c:pt idx="74">
                  <c:v>1450</c:v>
                </c:pt>
                <c:pt idx="76">
                  <c:v>1460</c:v>
                </c:pt>
                <c:pt idx="78">
                  <c:v>1470</c:v>
                </c:pt>
                <c:pt idx="80">
                  <c:v>1480</c:v>
                </c:pt>
                <c:pt idx="82">
                  <c:v>1490</c:v>
                </c:pt>
                <c:pt idx="84">
                  <c:v>1500</c:v>
                </c:pt>
                <c:pt idx="86">
                  <c:v>1510</c:v>
                </c:pt>
                <c:pt idx="88">
                  <c:v>1520</c:v>
                </c:pt>
                <c:pt idx="90">
                  <c:v>1530</c:v>
                </c:pt>
                <c:pt idx="92">
                  <c:v>1540</c:v>
                </c:pt>
                <c:pt idx="94">
                  <c:v>1550</c:v>
                </c:pt>
                <c:pt idx="96">
                  <c:v>1560</c:v>
                </c:pt>
                <c:pt idx="98">
                  <c:v>1570</c:v>
                </c:pt>
                <c:pt idx="100">
                  <c:v>1580</c:v>
                </c:pt>
                <c:pt idx="102">
                  <c:v>1590</c:v>
                </c:pt>
                <c:pt idx="104">
                  <c:v>1600</c:v>
                </c:pt>
                <c:pt idx="106">
                  <c:v>1610</c:v>
                </c:pt>
                <c:pt idx="108">
                  <c:v>1620</c:v>
                </c:pt>
                <c:pt idx="110">
                  <c:v>1630</c:v>
                </c:pt>
                <c:pt idx="112">
                  <c:v>1640</c:v>
                </c:pt>
              </c:numCache>
            </c:numRef>
          </c:xVal>
          <c:yVal>
            <c:numRef>
              <c:f>'CME - Futuro Soja'!$N$43:$N$156</c:f>
              <c:numCache>
                <c:formatCode>General</c:formatCode>
                <c:ptCount val="114"/>
                <c:pt idx="0">
                  <c:v>0</c:v>
                </c:pt>
                <c:pt idx="2">
                  <c:v>0</c:v>
                </c:pt>
                <c:pt idx="4">
                  <c:v>1</c:v>
                </c:pt>
                <c:pt idx="6">
                  <c:v>1</c:v>
                </c:pt>
                <c:pt idx="8">
                  <c:v>13</c:v>
                </c:pt>
                <c:pt idx="10">
                  <c:v>3</c:v>
                </c:pt>
                <c:pt idx="12">
                  <c:v>48</c:v>
                </c:pt>
                <c:pt idx="14">
                  <c:v>59</c:v>
                </c:pt>
                <c:pt idx="16">
                  <c:v>33</c:v>
                </c:pt>
                <c:pt idx="18">
                  <c:v>84</c:v>
                </c:pt>
                <c:pt idx="20">
                  <c:v>200</c:v>
                </c:pt>
                <c:pt idx="22">
                  <c:v>59</c:v>
                </c:pt>
                <c:pt idx="24">
                  <c:v>416</c:v>
                </c:pt>
                <c:pt idx="26">
                  <c:v>745</c:v>
                </c:pt>
                <c:pt idx="28">
                  <c:v>192</c:v>
                </c:pt>
                <c:pt idx="30">
                  <c:v>345</c:v>
                </c:pt>
                <c:pt idx="32">
                  <c:v>929</c:v>
                </c:pt>
                <c:pt idx="34">
                  <c:v>15</c:v>
                </c:pt>
                <c:pt idx="36">
                  <c:v>18</c:v>
                </c:pt>
                <c:pt idx="38">
                  <c:v>26</c:v>
                </c:pt>
                <c:pt idx="40">
                  <c:v>17</c:v>
                </c:pt>
                <c:pt idx="42">
                  <c:v>0</c:v>
                </c:pt>
                <c:pt idx="44">
                  <c:v>3</c:v>
                </c:pt>
                <c:pt idx="46">
                  <c:v>3</c:v>
                </c:pt>
                <c:pt idx="48">
                  <c:v>0</c:v>
                </c:pt>
                <c:pt idx="50">
                  <c:v>2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  <c:pt idx="58">
                  <c:v>0</c:v>
                </c:pt>
                <c:pt idx="60">
                  <c:v>0</c:v>
                </c:pt>
                <c:pt idx="62">
                  <c:v>0</c:v>
                </c:pt>
                <c:pt idx="64">
                  <c:v>1</c:v>
                </c:pt>
                <c:pt idx="66">
                  <c:v>1</c:v>
                </c:pt>
                <c:pt idx="68">
                  <c:v>0</c:v>
                </c:pt>
                <c:pt idx="70">
                  <c:v>0</c:v>
                </c:pt>
                <c:pt idx="72">
                  <c:v>0</c:v>
                </c:pt>
                <c:pt idx="74">
                  <c:v>0</c:v>
                </c:pt>
                <c:pt idx="76">
                  <c:v>0</c:v>
                </c:pt>
                <c:pt idx="78">
                  <c:v>0</c:v>
                </c:pt>
                <c:pt idx="80">
                  <c:v>0</c:v>
                </c:pt>
                <c:pt idx="82">
                  <c:v>0</c:v>
                </c:pt>
                <c:pt idx="84">
                  <c:v>0</c:v>
                </c:pt>
                <c:pt idx="86">
                  <c:v>0</c:v>
                </c:pt>
                <c:pt idx="88">
                  <c:v>0</c:v>
                </c:pt>
                <c:pt idx="90">
                  <c:v>0</c:v>
                </c:pt>
                <c:pt idx="92">
                  <c:v>0</c:v>
                </c:pt>
                <c:pt idx="94">
                  <c:v>0</c:v>
                </c:pt>
                <c:pt idx="96">
                  <c:v>0</c:v>
                </c:pt>
                <c:pt idx="98">
                  <c:v>0</c:v>
                </c:pt>
                <c:pt idx="100">
                  <c:v>0</c:v>
                </c:pt>
                <c:pt idx="102">
                  <c:v>0</c:v>
                </c:pt>
                <c:pt idx="104">
                  <c:v>0</c:v>
                </c:pt>
                <c:pt idx="106">
                  <c:v>0</c:v>
                </c:pt>
                <c:pt idx="108">
                  <c:v>0</c:v>
                </c:pt>
                <c:pt idx="110">
                  <c:v>0</c:v>
                </c:pt>
                <c:pt idx="1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BD-4659-B608-1A0441C99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461616"/>
        <c:axId val="2019734816"/>
      </c:scatterChart>
      <c:valAx>
        <c:axId val="2028461616"/>
        <c:scaling>
          <c:orientation val="minMax"/>
          <c:min val="7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734816"/>
        <c:crosses val="autoZero"/>
        <c:crossBetween val="midCat"/>
      </c:valAx>
      <c:valAx>
        <c:axId val="2019734816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461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Precio Calls Soja Enero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'ROFEX - Futuro Soja'!$L$25:$L$37</c:f>
              <c:numCache>
                <c:formatCode>General</c:formatCode>
                <c:ptCount val="13"/>
                <c:pt idx="0">
                  <c:v>320</c:v>
                </c:pt>
                <c:pt idx="1">
                  <c:v>328</c:v>
                </c:pt>
                <c:pt idx="2">
                  <c:v>332</c:v>
                </c:pt>
                <c:pt idx="3">
                  <c:v>336</c:v>
                </c:pt>
                <c:pt idx="4">
                  <c:v>340</c:v>
                </c:pt>
                <c:pt idx="5">
                  <c:v>344</c:v>
                </c:pt>
                <c:pt idx="6">
                  <c:v>348</c:v>
                </c:pt>
                <c:pt idx="7">
                  <c:v>352</c:v>
                </c:pt>
                <c:pt idx="8">
                  <c:v>356</c:v>
                </c:pt>
                <c:pt idx="9">
                  <c:v>360</c:v>
                </c:pt>
                <c:pt idx="10">
                  <c:v>364</c:v>
                </c:pt>
                <c:pt idx="11">
                  <c:v>368</c:v>
                </c:pt>
                <c:pt idx="12">
                  <c:v>372</c:v>
                </c:pt>
              </c:numCache>
            </c:numRef>
          </c:xVal>
          <c:yVal>
            <c:numRef>
              <c:f>'ROFEX - Futuro Soja'!$E$25:$E$37</c:f>
              <c:numCache>
                <c:formatCode>General</c:formatCode>
                <c:ptCount val="13"/>
                <c:pt idx="1">
                  <c:v>11</c:v>
                </c:pt>
                <c:pt idx="3">
                  <c:v>8.4</c:v>
                </c:pt>
                <c:pt idx="5">
                  <c:v>5.5</c:v>
                </c:pt>
                <c:pt idx="6">
                  <c:v>5.2</c:v>
                </c:pt>
                <c:pt idx="8">
                  <c:v>3.1</c:v>
                </c:pt>
                <c:pt idx="9">
                  <c:v>2.9</c:v>
                </c:pt>
                <c:pt idx="10">
                  <c:v>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87-40F0-A1CE-C23A072883E8}"/>
            </c:ext>
          </c:extLst>
        </c:ser>
        <c:ser>
          <c:idx val="1"/>
          <c:order val="1"/>
          <c:tx>
            <c:v>Promedio Compra-Venta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'ROFEX - Futuro Soja'!$L$25:$L$36</c:f>
              <c:numCache>
                <c:formatCode>General</c:formatCode>
                <c:ptCount val="12"/>
                <c:pt idx="0">
                  <c:v>320</c:v>
                </c:pt>
                <c:pt idx="1">
                  <c:v>328</c:v>
                </c:pt>
                <c:pt idx="2">
                  <c:v>332</c:v>
                </c:pt>
                <c:pt idx="3">
                  <c:v>336</c:v>
                </c:pt>
                <c:pt idx="4">
                  <c:v>340</c:v>
                </c:pt>
                <c:pt idx="5">
                  <c:v>344</c:v>
                </c:pt>
                <c:pt idx="6">
                  <c:v>348</c:v>
                </c:pt>
                <c:pt idx="7">
                  <c:v>352</c:v>
                </c:pt>
                <c:pt idx="8">
                  <c:v>356</c:v>
                </c:pt>
                <c:pt idx="9">
                  <c:v>360</c:v>
                </c:pt>
                <c:pt idx="10">
                  <c:v>364</c:v>
                </c:pt>
                <c:pt idx="11">
                  <c:v>368</c:v>
                </c:pt>
              </c:numCache>
            </c:numRef>
          </c:xVal>
          <c:yVal>
            <c:numRef>
              <c:f>'ROFEX - Futuro Soja'!$C$57:$C$68</c:f>
              <c:numCache>
                <c:formatCode>General</c:formatCode>
                <c:ptCount val="12"/>
                <c:pt idx="0">
                  <c:v>14.2</c:v>
                </c:pt>
                <c:pt idx="1">
                  <c:v>11.25</c:v>
                </c:pt>
                <c:pt idx="2">
                  <c:v>9.85</c:v>
                </c:pt>
                <c:pt idx="3">
                  <c:v>8.0500000000000007</c:v>
                </c:pt>
                <c:pt idx="4">
                  <c:v>7</c:v>
                </c:pt>
                <c:pt idx="5">
                  <c:v>6.15</c:v>
                </c:pt>
                <c:pt idx="6">
                  <c:v>4.9000000000000004</c:v>
                </c:pt>
                <c:pt idx="7">
                  <c:v>4.4000000000000004</c:v>
                </c:pt>
                <c:pt idx="8">
                  <c:v>3.55</c:v>
                </c:pt>
                <c:pt idx="9">
                  <c:v>2.8</c:v>
                </c:pt>
                <c:pt idx="10">
                  <c:v>2.7</c:v>
                </c:pt>
                <c:pt idx="11">
                  <c:v>2.2999999999999998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DF-44B1-BFD4-62135CBE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4210960"/>
        <c:axId val="1717443024"/>
      </c:scatterChart>
      <c:valAx>
        <c:axId val="2024210960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7443024"/>
        <c:crosses val="autoZero"/>
        <c:crossBetween val="midCat"/>
      </c:valAx>
      <c:valAx>
        <c:axId val="171744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421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Volumen Soja Enero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'ROFEX - Futuro Soja'!$L$25:$L$37</c:f>
              <c:numCache>
                <c:formatCode>General</c:formatCode>
                <c:ptCount val="13"/>
                <c:pt idx="0">
                  <c:v>320</c:v>
                </c:pt>
                <c:pt idx="1">
                  <c:v>328</c:v>
                </c:pt>
                <c:pt idx="2">
                  <c:v>332</c:v>
                </c:pt>
                <c:pt idx="3">
                  <c:v>336</c:v>
                </c:pt>
                <c:pt idx="4">
                  <c:v>340</c:v>
                </c:pt>
                <c:pt idx="5">
                  <c:v>344</c:v>
                </c:pt>
                <c:pt idx="6">
                  <c:v>348</c:v>
                </c:pt>
                <c:pt idx="7">
                  <c:v>352</c:v>
                </c:pt>
                <c:pt idx="8">
                  <c:v>356</c:v>
                </c:pt>
                <c:pt idx="9">
                  <c:v>360</c:v>
                </c:pt>
                <c:pt idx="10">
                  <c:v>364</c:v>
                </c:pt>
                <c:pt idx="11">
                  <c:v>368</c:v>
                </c:pt>
                <c:pt idx="12">
                  <c:v>372</c:v>
                </c:pt>
              </c:numCache>
            </c:numRef>
          </c:xVal>
          <c:yVal>
            <c:numRef>
              <c:f>'ROFEX - Futuro Soja'!$G$25:$G$37</c:f>
              <c:numCache>
                <c:formatCode>General</c:formatCode>
                <c:ptCount val="13"/>
                <c:pt idx="1">
                  <c:v>23</c:v>
                </c:pt>
                <c:pt idx="3">
                  <c:v>3</c:v>
                </c:pt>
                <c:pt idx="5">
                  <c:v>15</c:v>
                </c:pt>
                <c:pt idx="6">
                  <c:v>30</c:v>
                </c:pt>
                <c:pt idx="8">
                  <c:v>3</c:v>
                </c:pt>
                <c:pt idx="9">
                  <c:v>32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A6-46E3-A808-DF711E629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4210960"/>
        <c:axId val="1717443024"/>
      </c:scatterChart>
      <c:valAx>
        <c:axId val="2024210960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7443024"/>
        <c:crosses val="autoZero"/>
        <c:crossBetween val="midCat"/>
      </c:valAx>
      <c:valAx>
        <c:axId val="171744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421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Precio Calls SYN.BTC-31DEC21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'Crypto - BTCUSD'!$J$15:$J$73</c:f>
              <c:numCache>
                <c:formatCode>General</c:formatCode>
                <c:ptCount val="59"/>
                <c:pt idx="0">
                  <c:v>18000</c:v>
                </c:pt>
                <c:pt idx="2">
                  <c:v>20000</c:v>
                </c:pt>
                <c:pt idx="4">
                  <c:v>22000</c:v>
                </c:pt>
                <c:pt idx="6">
                  <c:v>24000</c:v>
                </c:pt>
                <c:pt idx="8">
                  <c:v>26000</c:v>
                </c:pt>
                <c:pt idx="10">
                  <c:v>28000</c:v>
                </c:pt>
                <c:pt idx="12">
                  <c:v>30000</c:v>
                </c:pt>
                <c:pt idx="14">
                  <c:v>32000</c:v>
                </c:pt>
                <c:pt idx="16">
                  <c:v>34000</c:v>
                </c:pt>
                <c:pt idx="18">
                  <c:v>36000</c:v>
                </c:pt>
                <c:pt idx="20">
                  <c:v>38000</c:v>
                </c:pt>
                <c:pt idx="22">
                  <c:v>40000</c:v>
                </c:pt>
                <c:pt idx="24">
                  <c:v>42000</c:v>
                </c:pt>
                <c:pt idx="26">
                  <c:v>44000</c:v>
                </c:pt>
                <c:pt idx="28">
                  <c:v>46000</c:v>
                </c:pt>
                <c:pt idx="30">
                  <c:v>48000</c:v>
                </c:pt>
                <c:pt idx="32">
                  <c:v>50000</c:v>
                </c:pt>
                <c:pt idx="34">
                  <c:v>52000</c:v>
                </c:pt>
                <c:pt idx="36">
                  <c:v>54000</c:v>
                </c:pt>
                <c:pt idx="38">
                  <c:v>56000</c:v>
                </c:pt>
                <c:pt idx="40">
                  <c:v>60000</c:v>
                </c:pt>
                <c:pt idx="42">
                  <c:v>64000</c:v>
                </c:pt>
                <c:pt idx="44">
                  <c:v>65000</c:v>
                </c:pt>
                <c:pt idx="46">
                  <c:v>70000</c:v>
                </c:pt>
                <c:pt idx="48">
                  <c:v>75000</c:v>
                </c:pt>
                <c:pt idx="50">
                  <c:v>80000</c:v>
                </c:pt>
                <c:pt idx="52">
                  <c:v>85000</c:v>
                </c:pt>
                <c:pt idx="54">
                  <c:v>90000</c:v>
                </c:pt>
                <c:pt idx="56">
                  <c:v>95000</c:v>
                </c:pt>
                <c:pt idx="58">
                  <c:v>100000</c:v>
                </c:pt>
              </c:numCache>
            </c:numRef>
          </c:xVal>
          <c:yVal>
            <c:numRef>
              <c:f>'Crypto - BTCUSD'!$A$15:$A$73</c:f>
              <c:numCache>
                <c:formatCode>General</c:formatCode>
                <c:ptCount val="59"/>
                <c:pt idx="0">
                  <c:v>0.71899999999999997</c:v>
                </c:pt>
                <c:pt idx="2">
                  <c:v>0.68400000000000005</c:v>
                </c:pt>
                <c:pt idx="4">
                  <c:v>0.61650000000000005</c:v>
                </c:pt>
                <c:pt idx="6">
                  <c:v>0.64249999999999996</c:v>
                </c:pt>
                <c:pt idx="8">
                  <c:v>0.60599999999999998</c:v>
                </c:pt>
                <c:pt idx="10">
                  <c:v>0.59250000000000003</c:v>
                </c:pt>
                <c:pt idx="12">
                  <c:v>0.47899999999999998</c:v>
                </c:pt>
                <c:pt idx="14">
                  <c:v>0.49049999999999999</c:v>
                </c:pt>
                <c:pt idx="16">
                  <c:v>0.36849999999999999</c:v>
                </c:pt>
                <c:pt idx="18">
                  <c:v>0.48</c:v>
                </c:pt>
                <c:pt idx="20">
                  <c:v>0.39900000000000002</c:v>
                </c:pt>
                <c:pt idx="22">
                  <c:v>0.39900000000000002</c:v>
                </c:pt>
                <c:pt idx="24">
                  <c:v>0.371</c:v>
                </c:pt>
                <c:pt idx="26">
                  <c:v>0.33100000000000002</c:v>
                </c:pt>
                <c:pt idx="28">
                  <c:v>0.3075</c:v>
                </c:pt>
                <c:pt idx="30">
                  <c:v>0.28100000000000003</c:v>
                </c:pt>
                <c:pt idx="32">
                  <c:v>0.27500000000000002</c:v>
                </c:pt>
                <c:pt idx="34">
                  <c:v>0.25</c:v>
                </c:pt>
                <c:pt idx="36">
                  <c:v>0.215</c:v>
                </c:pt>
                <c:pt idx="38">
                  <c:v>0.2</c:v>
                </c:pt>
                <c:pt idx="40">
                  <c:v>0.18099999999999999</c:v>
                </c:pt>
                <c:pt idx="42">
                  <c:v>0.14899999999999999</c:v>
                </c:pt>
                <c:pt idx="44">
                  <c:v>0.14499999999999999</c:v>
                </c:pt>
                <c:pt idx="46">
                  <c:v>0.11650000000000001</c:v>
                </c:pt>
                <c:pt idx="48">
                  <c:v>9.5500000000000002E-2</c:v>
                </c:pt>
                <c:pt idx="50">
                  <c:v>7.3999999999999996E-2</c:v>
                </c:pt>
                <c:pt idx="52">
                  <c:v>5.9200000000000003E-2</c:v>
                </c:pt>
                <c:pt idx="54">
                  <c:v>5.1999999999999998E-2</c:v>
                </c:pt>
                <c:pt idx="56">
                  <c:v>0</c:v>
                </c:pt>
                <c:pt idx="58">
                  <c:v>3.15E-2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9F-4D33-8C57-9F17F068B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6295520"/>
        <c:axId val="1763704336"/>
      </c:scatterChart>
      <c:valAx>
        <c:axId val="202629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3704336"/>
        <c:crosses val="autoZero"/>
        <c:crossBetween val="midCat"/>
      </c:valAx>
      <c:valAx>
        <c:axId val="176370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29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Volumen</a:t>
            </a:r>
            <a:r>
              <a:rPr lang="en-US" baseline="0"/>
              <a:t> </a:t>
            </a:r>
            <a:r>
              <a:rPr lang="en-US"/>
              <a:t>Calls SYN.BTC-31DEC21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'Crypto - BTCUSD'!$J$17:$J$73</c:f>
              <c:numCache>
                <c:formatCode>General</c:formatCode>
                <c:ptCount val="57"/>
                <c:pt idx="0">
                  <c:v>20000</c:v>
                </c:pt>
                <c:pt idx="2">
                  <c:v>22000</c:v>
                </c:pt>
                <c:pt idx="4">
                  <c:v>24000</c:v>
                </c:pt>
                <c:pt idx="6">
                  <c:v>26000</c:v>
                </c:pt>
                <c:pt idx="8">
                  <c:v>28000</c:v>
                </c:pt>
                <c:pt idx="10">
                  <c:v>30000</c:v>
                </c:pt>
                <c:pt idx="12">
                  <c:v>32000</c:v>
                </c:pt>
                <c:pt idx="14">
                  <c:v>34000</c:v>
                </c:pt>
                <c:pt idx="16">
                  <c:v>36000</c:v>
                </c:pt>
                <c:pt idx="18">
                  <c:v>38000</c:v>
                </c:pt>
                <c:pt idx="20">
                  <c:v>40000</c:v>
                </c:pt>
                <c:pt idx="22">
                  <c:v>42000</c:v>
                </c:pt>
                <c:pt idx="24">
                  <c:v>44000</c:v>
                </c:pt>
                <c:pt idx="26">
                  <c:v>46000</c:v>
                </c:pt>
                <c:pt idx="28">
                  <c:v>48000</c:v>
                </c:pt>
                <c:pt idx="30">
                  <c:v>50000</c:v>
                </c:pt>
                <c:pt idx="32">
                  <c:v>52000</c:v>
                </c:pt>
                <c:pt idx="34">
                  <c:v>54000</c:v>
                </c:pt>
                <c:pt idx="36">
                  <c:v>56000</c:v>
                </c:pt>
                <c:pt idx="38">
                  <c:v>60000</c:v>
                </c:pt>
                <c:pt idx="40">
                  <c:v>64000</c:v>
                </c:pt>
                <c:pt idx="42">
                  <c:v>65000</c:v>
                </c:pt>
                <c:pt idx="44">
                  <c:v>70000</c:v>
                </c:pt>
                <c:pt idx="46">
                  <c:v>75000</c:v>
                </c:pt>
                <c:pt idx="48">
                  <c:v>80000</c:v>
                </c:pt>
                <c:pt idx="50">
                  <c:v>85000</c:v>
                </c:pt>
                <c:pt idx="52">
                  <c:v>90000</c:v>
                </c:pt>
                <c:pt idx="54">
                  <c:v>95000</c:v>
                </c:pt>
                <c:pt idx="56">
                  <c:v>100000</c:v>
                </c:pt>
              </c:numCache>
            </c:numRef>
          </c:xVal>
          <c:yVal>
            <c:numRef>
              <c:f>'Crypto - BTCUSD'!$H$17:$H$73</c:f>
              <c:numCache>
                <c:formatCode>General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4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0.3</c:v>
                </c:pt>
                <c:pt idx="22">
                  <c:v>1.7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45.4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17.399999999999999</c:v>
                </c:pt>
                <c:pt idx="40">
                  <c:v>4.4000000000000004</c:v>
                </c:pt>
                <c:pt idx="42">
                  <c:v>9.9</c:v>
                </c:pt>
                <c:pt idx="44">
                  <c:v>68</c:v>
                </c:pt>
                <c:pt idx="46">
                  <c:v>53.6</c:v>
                </c:pt>
                <c:pt idx="48">
                  <c:v>239.2</c:v>
                </c:pt>
                <c:pt idx="50">
                  <c:v>248.6</c:v>
                </c:pt>
                <c:pt idx="52">
                  <c:v>177.9</c:v>
                </c:pt>
                <c:pt idx="54">
                  <c:v>0</c:v>
                </c:pt>
                <c:pt idx="56">
                  <c:v>599.70000000000005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89-4254-A1FB-0307EA5A3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6295520"/>
        <c:axId val="1763704336"/>
      </c:scatterChart>
      <c:valAx>
        <c:axId val="202629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3704336"/>
        <c:crosses val="autoZero"/>
        <c:crossBetween val="midCat"/>
      </c:valAx>
      <c:valAx>
        <c:axId val="176370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29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9</xdr:row>
      <xdr:rowOff>16793</xdr:rowOff>
    </xdr:from>
    <xdr:to>
      <xdr:col>16</xdr:col>
      <xdr:colOff>0</xdr:colOff>
      <xdr:row>46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6FE29E4-4845-4E2C-9085-89D430B39EF8}"/>
            </a:ext>
          </a:extLst>
        </xdr:cNvPr>
        <xdr:cNvSpPr>
          <a:spLocks noGrp="1" noChangeArrowheads="1"/>
        </xdr:cNvSpPr>
      </xdr:nvSpPr>
      <xdr:spPr bwMode="auto">
        <a:xfrm>
          <a:off x="1295400" y="1559843"/>
          <a:ext cx="8458200" cy="63840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lvl1pPr marL="342900" indent="-342900" algn="l" rtl="0" eaLnBrk="0" fontAlgn="base" hangingPunct="0">
            <a:spcBef>
              <a:spcPct val="20000"/>
            </a:spcBef>
            <a:spcAft>
              <a:spcPct val="0"/>
            </a:spcAft>
            <a:buClr>
              <a:schemeClr val="folHlink"/>
            </a:buClr>
            <a:buChar char="•"/>
            <a:defRPr sz="3200">
              <a:solidFill>
                <a:srgbClr val="4D4D4D"/>
              </a:solidFill>
              <a:latin typeface="+mn-lt"/>
              <a:ea typeface="+mn-ea"/>
              <a:cs typeface="+mn-cs"/>
            </a:defRPr>
          </a:lvl1pPr>
          <a:lvl2pPr marL="742950" indent="-285750" algn="l" rtl="0" eaLnBrk="0" fontAlgn="base" hangingPunct="0">
            <a:spcBef>
              <a:spcPct val="20000"/>
            </a:spcBef>
            <a:spcAft>
              <a:spcPct val="0"/>
            </a:spcAft>
            <a:buClr>
              <a:schemeClr val="folHlink"/>
            </a:buClr>
            <a:buSzPct val="75000"/>
            <a:buFont typeface="Wingdings" panose="05000000000000000000" pitchFamily="2" charset="2"/>
            <a:buChar char="Ø"/>
            <a:defRPr sz="2800">
              <a:solidFill>
                <a:srgbClr val="4D4D4D"/>
              </a:solidFill>
              <a:latin typeface="+mn-lt"/>
            </a:defRPr>
          </a:lvl2pPr>
          <a:lvl3pPr marL="1085850" indent="-228600" algn="l" rtl="0" eaLnBrk="0" fontAlgn="base" hangingPunct="0">
            <a:spcBef>
              <a:spcPct val="20000"/>
            </a:spcBef>
            <a:spcAft>
              <a:spcPct val="0"/>
            </a:spcAft>
            <a:buClr>
              <a:schemeClr val="folHlink"/>
            </a:buClr>
            <a:buSzPct val="75000"/>
            <a:buFont typeface="Wingdings" panose="05000000000000000000" pitchFamily="2" charset="2"/>
            <a:buChar char="w"/>
            <a:defRPr sz="2400">
              <a:solidFill>
                <a:srgbClr val="4D4D4D"/>
              </a:solidFill>
              <a:latin typeface="+mn-lt"/>
            </a:defRPr>
          </a:lvl3pPr>
          <a:lvl4pPr marL="1428750" indent="-228600" algn="l" rtl="0" eaLnBrk="0" fontAlgn="base" hangingPunct="0">
            <a:spcBef>
              <a:spcPct val="20000"/>
            </a:spcBef>
            <a:spcAft>
              <a:spcPct val="0"/>
            </a:spcAft>
            <a:buClr>
              <a:schemeClr val="folHlink"/>
            </a:buClr>
            <a:buSzPct val="75000"/>
            <a:buFont typeface="Wingdings" panose="05000000000000000000" pitchFamily="2" charset="2"/>
            <a:buChar char="§"/>
            <a:defRPr sz="2000">
              <a:solidFill>
                <a:srgbClr val="4D4D4D"/>
              </a:solidFill>
              <a:latin typeface="+mn-lt"/>
            </a:defRPr>
          </a:lvl4pPr>
          <a:lvl5pPr marL="1771650" indent="-228600" algn="l" rtl="0" eaLnBrk="0" fontAlgn="base" hangingPunct="0">
            <a:spcBef>
              <a:spcPct val="20000"/>
            </a:spcBef>
            <a:spcAft>
              <a:spcPct val="0"/>
            </a:spcAft>
            <a:buClr>
              <a:schemeClr val="folHlink"/>
            </a:buClr>
            <a:buFont typeface="Times New Roman" panose="02020603050405020304" pitchFamily="18" charset="0"/>
            <a:buChar char="-"/>
            <a:defRPr sz="2000">
              <a:solidFill>
                <a:srgbClr val="4D4D4D"/>
              </a:solidFill>
              <a:latin typeface="+mn-lt"/>
            </a:defRPr>
          </a:lvl5pPr>
          <a:lvl6pPr marL="2228850" indent="-228600" algn="l" rtl="0" fontAlgn="base">
            <a:spcBef>
              <a:spcPct val="20000"/>
            </a:spcBef>
            <a:spcAft>
              <a:spcPct val="0"/>
            </a:spcAft>
            <a:buClr>
              <a:schemeClr val="folHlink"/>
            </a:buClr>
            <a:buFont typeface="Times New Roman" pitchFamily="18" charset="0"/>
            <a:buChar char="-"/>
            <a:defRPr sz="2000">
              <a:solidFill>
                <a:srgbClr val="4D4D4D"/>
              </a:solidFill>
              <a:latin typeface="+mn-lt"/>
            </a:defRPr>
          </a:lvl6pPr>
          <a:lvl7pPr marL="2686050" indent="-228600" algn="l" rtl="0" fontAlgn="base">
            <a:spcBef>
              <a:spcPct val="20000"/>
            </a:spcBef>
            <a:spcAft>
              <a:spcPct val="0"/>
            </a:spcAft>
            <a:buClr>
              <a:schemeClr val="folHlink"/>
            </a:buClr>
            <a:buFont typeface="Times New Roman" pitchFamily="18" charset="0"/>
            <a:buChar char="-"/>
            <a:defRPr sz="2000">
              <a:solidFill>
                <a:srgbClr val="4D4D4D"/>
              </a:solidFill>
              <a:latin typeface="+mn-lt"/>
            </a:defRPr>
          </a:lvl7pPr>
          <a:lvl8pPr marL="3143250" indent="-228600" algn="l" rtl="0" fontAlgn="base">
            <a:spcBef>
              <a:spcPct val="20000"/>
            </a:spcBef>
            <a:spcAft>
              <a:spcPct val="0"/>
            </a:spcAft>
            <a:buClr>
              <a:schemeClr val="folHlink"/>
            </a:buClr>
            <a:buFont typeface="Times New Roman" pitchFamily="18" charset="0"/>
            <a:buChar char="-"/>
            <a:defRPr sz="2000">
              <a:solidFill>
                <a:srgbClr val="4D4D4D"/>
              </a:solidFill>
              <a:latin typeface="+mn-lt"/>
            </a:defRPr>
          </a:lvl8pPr>
          <a:lvl9pPr marL="3600450" indent="-228600" algn="l" rtl="0" fontAlgn="base">
            <a:spcBef>
              <a:spcPct val="20000"/>
            </a:spcBef>
            <a:spcAft>
              <a:spcPct val="0"/>
            </a:spcAft>
            <a:buClr>
              <a:schemeClr val="folHlink"/>
            </a:buClr>
            <a:buFont typeface="Times New Roman" pitchFamily="18" charset="0"/>
            <a:buChar char="-"/>
            <a:defRPr sz="2000">
              <a:solidFill>
                <a:srgbClr val="4D4D4D"/>
              </a:solidFill>
              <a:latin typeface="+mn-lt"/>
            </a:defRPr>
          </a:lvl9pPr>
        </a:lstStyle>
        <a:p>
          <a:pPr marL="0" indent="0" eaLnBrk="1" fontAlgn="b" hangingPunct="1">
            <a:spcBef>
              <a:spcPts val="0"/>
            </a:spcBef>
            <a:spcAft>
              <a:spcPts val="0"/>
            </a:spcAft>
            <a:buNone/>
          </a:pPr>
          <a:r>
            <a:rPr lang="es-ES" sz="2300" kern="1200">
              <a:solidFill>
                <a:srgbClr val="000000"/>
              </a:solidFill>
            </a:rPr>
            <a:t>En la planilla de la clase de hoy, hay 5 pestañas. Cada una representa un mercado distinto.  </a:t>
          </a:r>
        </a:p>
        <a:p>
          <a:pPr eaLnBrk="1" fontAlgn="b" hangingPunct="1">
            <a:spcBef>
              <a:spcPts val="0"/>
            </a:spcBef>
            <a:spcAft>
              <a:spcPts val="0"/>
            </a:spcAft>
          </a:pPr>
          <a:r>
            <a:rPr lang="es-ES" sz="2300" i="1" kern="1200">
              <a:solidFill>
                <a:srgbClr val="000000"/>
              </a:solidFill>
            </a:rPr>
            <a:t>Equity</a:t>
          </a:r>
          <a:r>
            <a:rPr lang="es-ES" sz="2300" kern="1200">
              <a:solidFill>
                <a:srgbClr val="000000"/>
              </a:solidFill>
            </a:rPr>
            <a:t> </a:t>
          </a:r>
          <a:r>
            <a:rPr lang="es-ES" sz="2300" kern="1200">
              <a:solidFill>
                <a:sysClr val="windowText" lastClr="000000"/>
              </a:solidFill>
            </a:rPr>
            <a:t>Argentina </a:t>
          </a:r>
          <a:r>
            <a:rPr lang="es-ES" sz="23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(En Clase) </a:t>
          </a:r>
          <a:r>
            <a:rPr lang="es-ES" sz="2300" kern="1200">
              <a:solidFill>
                <a:sysClr val="windowText" lastClr="000000"/>
              </a:solidFill>
            </a:rPr>
            <a:t>[Byma-Equity]</a:t>
          </a:r>
        </a:p>
        <a:p>
          <a:pPr eaLnBrk="1" fontAlgn="b" hangingPunct="1">
            <a:spcBef>
              <a:spcPts val="0"/>
            </a:spcBef>
            <a:spcAft>
              <a:spcPts val="0"/>
            </a:spcAft>
          </a:pPr>
          <a:r>
            <a:rPr lang="es-ES" sz="2300" kern="1200">
              <a:solidFill>
                <a:sysClr val="windowText" lastClr="000000"/>
              </a:solidFill>
            </a:rPr>
            <a:t>Equity US </a:t>
          </a:r>
          <a:r>
            <a:rPr lang="es-ES" sz="23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(Equipos 1, 5, 9) </a:t>
          </a:r>
          <a:r>
            <a:rPr lang="es-ES" sz="2300" kern="1200">
              <a:solidFill>
                <a:sysClr val="windowText" lastClr="000000"/>
              </a:solidFill>
            </a:rPr>
            <a:t>[NYSE-Equity]</a:t>
          </a:r>
        </a:p>
        <a:p>
          <a:pPr eaLnBrk="1" fontAlgn="b" hangingPunct="1">
            <a:spcBef>
              <a:spcPts val="0"/>
            </a:spcBef>
            <a:spcAft>
              <a:spcPts val="0"/>
            </a:spcAft>
          </a:pPr>
          <a:r>
            <a:rPr lang="es-ES" sz="2300" i="1" kern="1200">
              <a:solidFill>
                <a:sysClr val="windowText" lastClr="000000"/>
              </a:solidFill>
            </a:rPr>
            <a:t>Commodities</a:t>
          </a:r>
          <a:r>
            <a:rPr lang="es-ES" sz="2300" kern="1200">
              <a:solidFill>
                <a:sysClr val="windowText" lastClr="000000"/>
              </a:solidFill>
            </a:rPr>
            <a:t> </a:t>
          </a:r>
          <a:r>
            <a:rPr lang="es-ES" sz="2300" kern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Argentina (Equipos 2, 6, 10) </a:t>
          </a:r>
          <a:r>
            <a:rPr lang="es-ES" sz="2300" kern="1200">
              <a:solidFill>
                <a:sysClr val="windowText" lastClr="000000"/>
              </a:solidFill>
            </a:rPr>
            <a:t>[ROFEX</a:t>
          </a:r>
          <a:r>
            <a:rPr lang="es-ES" sz="2300" kern="1200" baseline="0">
              <a:solidFill>
                <a:sysClr val="windowText" lastClr="000000"/>
              </a:solidFill>
            </a:rPr>
            <a:t> Futuro Soja]</a:t>
          </a:r>
          <a:endParaRPr lang="es-ES" sz="2300" kern="1200">
            <a:solidFill>
              <a:sysClr val="windowText" lastClr="000000"/>
            </a:solidFill>
          </a:endParaRPr>
        </a:p>
        <a:p>
          <a:pPr eaLnBrk="1" fontAlgn="b" hangingPunct="1">
            <a:spcBef>
              <a:spcPts val="0"/>
            </a:spcBef>
            <a:spcAft>
              <a:spcPts val="0"/>
            </a:spcAft>
          </a:pPr>
          <a:r>
            <a:rPr lang="es-ES" sz="2300" i="1" kern="1200">
              <a:solidFill>
                <a:sysClr val="windowText" lastClr="000000"/>
              </a:solidFill>
            </a:rPr>
            <a:t>Commodities US </a:t>
          </a:r>
          <a:r>
            <a:rPr lang="es-ES" sz="2300" kern="1200">
              <a:solidFill>
                <a:sysClr val="windowText" lastClr="000000"/>
              </a:solidFill>
            </a:rPr>
            <a:t>(Equipos 3, </a:t>
          </a:r>
          <a:r>
            <a:rPr lang="es-ES" sz="2300" kern="1200">
              <a:solidFill>
                <a:srgbClr val="000000"/>
              </a:solidFill>
            </a:rPr>
            <a:t>7, 11) [CME Futuro Soja]</a:t>
          </a:r>
          <a:endParaRPr lang="es-ES" sz="2300" i="1" kern="1200">
            <a:solidFill>
              <a:srgbClr val="000000"/>
            </a:solidFill>
          </a:endParaRPr>
        </a:p>
        <a:p>
          <a:pPr eaLnBrk="1" fontAlgn="b" hangingPunct="1">
            <a:spcBef>
              <a:spcPts val="0"/>
            </a:spcBef>
            <a:spcAft>
              <a:spcPts val="0"/>
            </a:spcAft>
          </a:pPr>
          <a:r>
            <a:rPr lang="es-ES" sz="2300" i="1" kern="1200">
              <a:solidFill>
                <a:srgbClr val="000000"/>
              </a:solidFill>
            </a:rPr>
            <a:t>Crypto </a:t>
          </a:r>
          <a:r>
            <a:rPr lang="es-ES" sz="2300" kern="1200">
              <a:solidFill>
                <a:srgbClr val="000000"/>
              </a:solidFill>
            </a:rPr>
            <a:t>(Equipos 4, 8, 12) [Crypto BTCUSD]</a:t>
          </a:r>
        </a:p>
        <a:p>
          <a:pPr marL="0" indent="0" eaLnBrk="1" fontAlgn="b" hangingPunct="1">
            <a:spcBef>
              <a:spcPts val="0"/>
            </a:spcBef>
            <a:spcAft>
              <a:spcPts val="0"/>
            </a:spcAft>
            <a:buNone/>
          </a:pPr>
          <a:r>
            <a:rPr lang="es-ES" sz="2300" kern="1200">
              <a:solidFill>
                <a:srgbClr val="000000"/>
              </a:solidFill>
            </a:rPr>
            <a:t>El ejercicio consiste en tomar los precios de mercado y estudiar:</a:t>
          </a:r>
        </a:p>
        <a:p>
          <a:pPr marL="457200" indent="-457200" eaLnBrk="1" fontAlgn="b" hangingPunct="1">
            <a:spcBef>
              <a:spcPts val="0"/>
            </a:spcBef>
            <a:spcAft>
              <a:spcPts val="0"/>
            </a:spcAft>
            <a:buFont typeface="+mj-lt"/>
            <a:buAutoNum type="arabicPeriod"/>
          </a:pPr>
          <a:r>
            <a:rPr lang="es-ES" sz="2300" kern="1200">
              <a:solidFill>
                <a:srgbClr val="000000"/>
              </a:solidFill>
            </a:rPr>
            <a:t>Para un vencimiento fijo </a:t>
          </a:r>
        </a:p>
        <a:p>
          <a:pPr lvl="1" eaLnBrk="1" fontAlgn="b" hangingPunct="1">
            <a:spcBef>
              <a:spcPts val="0"/>
            </a:spcBef>
            <a:spcAft>
              <a:spcPts val="0"/>
            </a:spcAft>
          </a:pPr>
          <a:r>
            <a:rPr lang="es-ES" sz="2000" kern="1200">
              <a:solidFill>
                <a:srgbClr val="000000"/>
              </a:solidFill>
            </a:rPr>
            <a:t>s</a:t>
          </a:r>
          <a:r>
            <a:rPr lang="es-ES" sz="2000" i="1" kern="1200">
              <a:solidFill>
                <a:srgbClr val="000000"/>
              </a:solidFill>
            </a:rPr>
            <a:t>trikes</a:t>
          </a:r>
          <a:r>
            <a:rPr lang="es-ES" sz="2000" kern="1200">
              <a:solidFill>
                <a:srgbClr val="000000"/>
              </a:solidFill>
            </a:rPr>
            <a:t> vs precios</a:t>
          </a:r>
        </a:p>
        <a:p>
          <a:pPr lvl="1" eaLnBrk="1" fontAlgn="b" hangingPunct="1">
            <a:spcBef>
              <a:spcPts val="0"/>
            </a:spcBef>
            <a:spcAft>
              <a:spcPts val="0"/>
            </a:spcAft>
          </a:pPr>
          <a:r>
            <a:rPr lang="es-ES" sz="2000" i="1" kern="1200">
              <a:solidFill>
                <a:srgbClr val="000000"/>
              </a:solidFill>
            </a:rPr>
            <a:t>strikes </a:t>
          </a:r>
          <a:r>
            <a:rPr lang="es-ES" sz="2000" kern="1200">
              <a:solidFill>
                <a:srgbClr val="000000"/>
              </a:solidFill>
            </a:rPr>
            <a:t>vs volumen/interés abierto</a:t>
          </a:r>
        </a:p>
        <a:p>
          <a:pPr marL="457200" indent="-457200" eaLnBrk="1" fontAlgn="b" hangingPunct="1">
            <a:spcBef>
              <a:spcPts val="0"/>
            </a:spcBef>
            <a:spcAft>
              <a:spcPts val="0"/>
            </a:spcAft>
            <a:buFont typeface="+mj-lt"/>
            <a:buAutoNum type="arabicPeriod"/>
          </a:pPr>
          <a:r>
            <a:rPr lang="es-ES" sz="2300" kern="1200">
              <a:solidFill>
                <a:srgbClr val="000000"/>
              </a:solidFill>
            </a:rPr>
            <a:t>Para un </a:t>
          </a:r>
          <a:r>
            <a:rPr lang="es-ES" sz="2300" i="1" kern="1200">
              <a:solidFill>
                <a:srgbClr val="000000"/>
              </a:solidFill>
            </a:rPr>
            <a:t>strike</a:t>
          </a:r>
          <a:r>
            <a:rPr lang="es-ES" sz="2300" kern="1200">
              <a:solidFill>
                <a:srgbClr val="000000"/>
              </a:solidFill>
            </a:rPr>
            <a:t> fijo* </a:t>
          </a:r>
        </a:p>
        <a:p>
          <a:pPr lvl="1" eaLnBrk="1" fontAlgn="b" hangingPunct="1">
            <a:spcBef>
              <a:spcPts val="0"/>
            </a:spcBef>
            <a:spcAft>
              <a:spcPts val="0"/>
            </a:spcAft>
          </a:pPr>
          <a:r>
            <a:rPr lang="es-ES" sz="2000" kern="1200">
              <a:solidFill>
                <a:srgbClr val="000000"/>
              </a:solidFill>
            </a:rPr>
            <a:t>vencimientos vs precios</a:t>
          </a:r>
        </a:p>
        <a:p>
          <a:pPr lvl="1" eaLnBrk="1" fontAlgn="b" hangingPunct="1">
            <a:spcBef>
              <a:spcPts val="0"/>
            </a:spcBef>
            <a:spcAft>
              <a:spcPts val="0"/>
            </a:spcAft>
          </a:pPr>
          <a:r>
            <a:rPr lang="es-ES" sz="2000" kern="1200">
              <a:solidFill>
                <a:srgbClr val="000000"/>
              </a:solidFill>
            </a:rPr>
            <a:t>vencimientos vs volumen/interés abierto</a:t>
          </a:r>
        </a:p>
      </xdr:txBody>
    </xdr:sp>
    <xdr:clientData/>
  </xdr:twoCellAnchor>
  <xdr:twoCellAnchor>
    <xdr:from>
      <xdr:col>1</xdr:col>
      <xdr:colOff>533400</xdr:colOff>
      <xdr:row>1</xdr:row>
      <xdr:rowOff>47625</xdr:rowOff>
    </xdr:from>
    <xdr:to>
      <xdr:col>15</xdr:col>
      <xdr:colOff>533400</xdr:colOff>
      <xdr:row>7</xdr:row>
      <xdr:rowOff>161925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111CB518-C0CA-402A-B383-F354FAB2418E}"/>
            </a:ext>
          </a:extLst>
        </xdr:cNvPr>
        <xdr:cNvSpPr>
          <a:spLocks noGrp="1" noChangeArrowheads="1"/>
        </xdr:cNvSpPr>
      </xdr:nvSpPr>
      <xdr:spPr bwMode="auto">
        <a:xfrm>
          <a:off x="1143000" y="219075"/>
          <a:ext cx="8534400" cy="1143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="horz" wrap="square" lIns="91440" tIns="45720" rIns="91440" bIns="45720" numCol="1" anchor="ctr" anchorCtr="0" compatLnSpc="1">
          <a:prstTxWarp prst="textNoShape">
            <a:avLst/>
          </a:prstTxWarp>
        </a:bodyPr>
        <a:lstStyle>
          <a:lvl1pPr algn="ctr" rtl="0" eaLnBrk="0" fontAlgn="base" hangingPunct="0">
            <a:lnSpc>
              <a:spcPct val="85000"/>
            </a:lnSpc>
            <a:spcBef>
              <a:spcPct val="0"/>
            </a:spcBef>
            <a:spcAft>
              <a:spcPct val="0"/>
            </a:spcAft>
            <a:defRPr sz="4000">
              <a:solidFill>
                <a:srgbClr val="4D4D4D"/>
              </a:solidFill>
              <a:latin typeface="+mj-lt"/>
              <a:ea typeface="+mj-ea"/>
              <a:cs typeface="+mj-cs"/>
            </a:defRPr>
          </a:lvl1pPr>
          <a:lvl2pPr algn="ctr" rtl="0" eaLnBrk="0" fontAlgn="base" hangingPunct="0">
            <a:lnSpc>
              <a:spcPct val="85000"/>
            </a:lnSpc>
            <a:spcBef>
              <a:spcPct val="0"/>
            </a:spcBef>
            <a:spcAft>
              <a:spcPct val="0"/>
            </a:spcAft>
            <a:defRPr sz="4000">
              <a:solidFill>
                <a:srgbClr val="4D4D4D"/>
              </a:solidFill>
              <a:latin typeface="Calibri" pitchFamily="34" charset="0"/>
            </a:defRPr>
          </a:lvl2pPr>
          <a:lvl3pPr algn="ctr" rtl="0" eaLnBrk="0" fontAlgn="base" hangingPunct="0">
            <a:lnSpc>
              <a:spcPct val="85000"/>
            </a:lnSpc>
            <a:spcBef>
              <a:spcPct val="0"/>
            </a:spcBef>
            <a:spcAft>
              <a:spcPct val="0"/>
            </a:spcAft>
            <a:defRPr sz="4000">
              <a:solidFill>
                <a:srgbClr val="4D4D4D"/>
              </a:solidFill>
              <a:latin typeface="Calibri" pitchFamily="34" charset="0"/>
            </a:defRPr>
          </a:lvl3pPr>
          <a:lvl4pPr algn="ctr" rtl="0" eaLnBrk="0" fontAlgn="base" hangingPunct="0">
            <a:lnSpc>
              <a:spcPct val="85000"/>
            </a:lnSpc>
            <a:spcBef>
              <a:spcPct val="0"/>
            </a:spcBef>
            <a:spcAft>
              <a:spcPct val="0"/>
            </a:spcAft>
            <a:defRPr sz="4000">
              <a:solidFill>
                <a:srgbClr val="4D4D4D"/>
              </a:solidFill>
              <a:latin typeface="Calibri" pitchFamily="34" charset="0"/>
            </a:defRPr>
          </a:lvl4pPr>
          <a:lvl5pPr algn="ctr" rtl="0" eaLnBrk="0" fontAlgn="base" hangingPunct="0">
            <a:lnSpc>
              <a:spcPct val="85000"/>
            </a:lnSpc>
            <a:spcBef>
              <a:spcPct val="0"/>
            </a:spcBef>
            <a:spcAft>
              <a:spcPct val="0"/>
            </a:spcAft>
            <a:defRPr sz="4000">
              <a:solidFill>
                <a:srgbClr val="4D4D4D"/>
              </a:solidFill>
              <a:latin typeface="Calibri" pitchFamily="34" charset="0"/>
            </a:defRPr>
          </a:lvl5pPr>
          <a:lvl6pPr marL="457200" algn="ctr" rtl="0" fontAlgn="base">
            <a:lnSpc>
              <a:spcPct val="85000"/>
            </a:lnSpc>
            <a:spcBef>
              <a:spcPct val="0"/>
            </a:spcBef>
            <a:spcAft>
              <a:spcPct val="0"/>
            </a:spcAft>
            <a:defRPr sz="4000">
              <a:solidFill>
                <a:srgbClr val="4D4D4D"/>
              </a:solidFill>
              <a:latin typeface="Times New Roman" pitchFamily="18" charset="0"/>
            </a:defRPr>
          </a:lvl6pPr>
          <a:lvl7pPr marL="914400" algn="ctr" rtl="0" fontAlgn="base">
            <a:lnSpc>
              <a:spcPct val="85000"/>
            </a:lnSpc>
            <a:spcBef>
              <a:spcPct val="0"/>
            </a:spcBef>
            <a:spcAft>
              <a:spcPct val="0"/>
            </a:spcAft>
            <a:defRPr sz="4000">
              <a:solidFill>
                <a:srgbClr val="4D4D4D"/>
              </a:solidFill>
              <a:latin typeface="Times New Roman" pitchFamily="18" charset="0"/>
            </a:defRPr>
          </a:lvl7pPr>
          <a:lvl8pPr marL="1371600" algn="ctr" rtl="0" fontAlgn="base">
            <a:lnSpc>
              <a:spcPct val="85000"/>
            </a:lnSpc>
            <a:spcBef>
              <a:spcPct val="0"/>
            </a:spcBef>
            <a:spcAft>
              <a:spcPct val="0"/>
            </a:spcAft>
            <a:defRPr sz="4000">
              <a:solidFill>
                <a:srgbClr val="4D4D4D"/>
              </a:solidFill>
              <a:latin typeface="Times New Roman" pitchFamily="18" charset="0"/>
            </a:defRPr>
          </a:lvl8pPr>
          <a:lvl9pPr marL="1828800" algn="ctr" rtl="0" fontAlgn="base">
            <a:lnSpc>
              <a:spcPct val="85000"/>
            </a:lnSpc>
            <a:spcBef>
              <a:spcPct val="0"/>
            </a:spcBef>
            <a:spcAft>
              <a:spcPct val="0"/>
            </a:spcAft>
            <a:defRPr sz="4000">
              <a:solidFill>
                <a:srgbClr val="4D4D4D"/>
              </a:solidFill>
              <a:latin typeface="Times New Roman" pitchFamily="18" charset="0"/>
            </a:defRPr>
          </a:lvl9pPr>
        </a:lstStyle>
        <a:p>
          <a:pPr eaLnBrk="1" hangingPunct="1"/>
          <a:r>
            <a:rPr lang="es-AR" altLang="en-US" sz="3200">
              <a:solidFill>
                <a:srgbClr val="00B050"/>
              </a:solidFill>
            </a:rPr>
            <a:t>FOS 2021</a:t>
          </a:r>
        </a:p>
        <a:p>
          <a:pPr eaLnBrk="1" hangingPunct="1"/>
          <a:r>
            <a:rPr lang="es-AR" altLang="en-US" sz="3200">
              <a:solidFill>
                <a:srgbClr val="00B050"/>
              </a:solidFill>
            </a:rPr>
            <a:t>Excel - Clase 6</a:t>
          </a:r>
          <a:br>
            <a:rPr lang="es-AR" altLang="en-US" sz="3200">
              <a:solidFill>
                <a:srgbClr val="00B050"/>
              </a:solidFill>
            </a:rPr>
          </a:br>
          <a:r>
            <a:rPr lang="es-AR" altLang="en-US" sz="3200" i="1">
              <a:solidFill>
                <a:srgbClr val="00B050"/>
              </a:solidFill>
            </a:rPr>
            <a:t>Market Data</a:t>
          </a:r>
          <a:endParaRPr lang="en-US" altLang="en-US" sz="3200">
            <a:solidFill>
              <a:srgbClr val="00B05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268605</xdr:colOff>
      <xdr:row>4</xdr:row>
      <xdr:rowOff>59055</xdr:rowOff>
    </xdr:from>
    <xdr:to>
      <xdr:col>23</xdr:col>
      <xdr:colOff>211456</xdr:colOff>
      <xdr:row>25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1D2582-1FF1-4C2E-B820-49AD66962B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171450</xdr:colOff>
      <xdr:row>31</xdr:row>
      <xdr:rowOff>6350</xdr:rowOff>
    </xdr:from>
    <xdr:to>
      <xdr:col>23</xdr:col>
      <xdr:colOff>114301</xdr:colOff>
      <xdr:row>74</xdr:row>
      <xdr:rowOff>134620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ADBEF5A-2282-415C-A4BC-FA1BE024A4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264794</xdr:colOff>
      <xdr:row>2</xdr:row>
      <xdr:rowOff>38100</xdr:rowOff>
    </xdr:from>
    <xdr:to>
      <xdr:col>21</xdr:col>
      <xdr:colOff>19049</xdr:colOff>
      <xdr:row>15</xdr:row>
      <xdr:rowOff>285750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17589B2-46F0-4F85-892F-A67D94A1D6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21</xdr:col>
      <xdr:colOff>367665</xdr:colOff>
      <xdr:row>26</xdr:row>
      <xdr:rowOff>329565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7FECCA5-D6FC-4211-A74A-DE382D583C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390525</xdr:colOff>
      <xdr:row>27</xdr:row>
      <xdr:rowOff>133350</xdr:rowOff>
    </xdr:from>
    <xdr:to>
      <xdr:col>21</xdr:col>
      <xdr:colOff>140970</xdr:colOff>
      <xdr:row>37</xdr:row>
      <xdr:rowOff>112395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FF8820D-E790-404A-A942-5C8578122F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419652</xdr:colOff>
      <xdr:row>3</xdr:row>
      <xdr:rowOff>148590</xdr:rowOff>
    </xdr:from>
    <xdr:to>
      <xdr:col>25</xdr:col>
      <xdr:colOff>95250</xdr:colOff>
      <xdr:row>82</xdr:row>
      <xdr:rowOff>110435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F5E6BB-1932-4899-9115-877EF809F4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127000</xdr:colOff>
      <xdr:row>88</xdr:row>
      <xdr:rowOff>11043</xdr:rowOff>
    </xdr:from>
    <xdr:to>
      <xdr:col>26</xdr:col>
      <xdr:colOff>160130</xdr:colOff>
      <xdr:row>160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7D8F245-0364-4F9C-B0C6-520CC6F7DA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38</xdr:row>
      <xdr:rowOff>94255</xdr:rowOff>
    </xdr:from>
    <xdr:to>
      <xdr:col>7</xdr:col>
      <xdr:colOff>373280</xdr:colOff>
      <xdr:row>54</xdr:row>
      <xdr:rowOff>68855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3A67F6E-5389-407B-BEDA-F22C449DDE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39</xdr:row>
      <xdr:rowOff>0</xdr:rowOff>
    </xdr:from>
    <xdr:to>
      <xdr:col>16</xdr:col>
      <xdr:colOff>304800</xdr:colOff>
      <xdr:row>54</xdr:row>
      <xdr:rowOff>136463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9A1FD04-2598-4073-8B6E-B4066D065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334645</xdr:colOff>
      <xdr:row>8</xdr:row>
      <xdr:rowOff>119380</xdr:rowOff>
    </xdr:from>
    <xdr:to>
      <xdr:col>26</xdr:col>
      <xdr:colOff>41275</xdr:colOff>
      <xdr:row>26</xdr:row>
      <xdr:rowOff>5715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10A534-E0A2-414E-98C4-59D8A3809D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431800</xdr:colOff>
      <xdr:row>26</xdr:row>
      <xdr:rowOff>44450</xdr:rowOff>
    </xdr:from>
    <xdr:to>
      <xdr:col>26</xdr:col>
      <xdr:colOff>165735</xdr:colOff>
      <xdr:row>43</xdr:row>
      <xdr:rowOff>88265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C72935A-E384-4BA5-B542-72A6D80532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2BFB00-6372-44C3-A898-9D015C808415}" name="Table1" displayName="Table1" ref="A9:W37" totalsRowShown="0" headerRowDxfId="24" dataDxfId="23">
  <autoFilter ref="A9:W37" xr:uid="{C22BFB00-6372-44C3-A898-9D015C808415}"/>
  <tableColumns count="23">
    <tableColumn id="1" xr3:uid="{278F9C0C-23FC-4CF3-A7AD-C508E4D27EE0}" name="Vol C" dataDxfId="22"/>
    <tableColumn id="2" xr3:uid="{DE91CF1D-30B9-4273-B04F-C8B7F5332AA0}" name="Bid" dataDxfId="21"/>
    <tableColumn id="3" xr3:uid="{47F66257-3D1A-4620-8959-651C7F6FB215}" name="Ask" dataDxfId="20"/>
    <tableColumn id="4" xr3:uid="{256207E8-8C80-4C74-BA24-4034D51B4B0B}" name="Vol V" dataDxfId="19"/>
    <tableColumn id="5" xr3:uid="{7547AF16-01DD-40BF-8848-580E740411F0}" name="Last" dataDxfId="18"/>
    <tableColumn id="6" xr3:uid="{BBD5F633-EA18-492B-BE2D-A5612DCCA72D}" name="Var %" dataDxfId="17"/>
    <tableColumn id="7" xr3:uid="{5718E476-97FA-4146-AC96-7E79CC665AA8}" name="Vol Op" dataDxfId="16"/>
    <tableColumn id="8" xr3:uid="{CF689D7E-3C02-45C9-B069-B8D486AB7696}" name="Cierre" dataDxfId="15"/>
    <tableColumn id="9" xr3:uid="{BD1720A3-CA3E-4B94-8110-1A1625BB2A4A}" name="Vol Imp" dataDxfId="14"/>
    <tableColumn id="10" xr3:uid="{2895B375-2505-42FD-98E2-D099F8F752BC}" name="I.I" dataDxfId="13"/>
    <tableColumn id="11" xr3:uid="{92B1AAEB-9F64-4472-9F4E-10C5BF546140}" name="Delta" dataDxfId="12"/>
    <tableColumn id="12" xr3:uid="{0DB576BD-0CD9-4966-824E-2813D273322B}" name="Strike" dataDxfId="11"/>
    <tableColumn id="13" xr3:uid="{2C1679C0-EEF2-4BCF-87E1-8E1B43115B97}" name="Vol C2" dataDxfId="10"/>
    <tableColumn id="14" xr3:uid="{ABB76F28-43D0-470E-9AB6-709076A5D652}" name="Bid2" dataDxfId="9"/>
    <tableColumn id="15" xr3:uid="{B52F3B93-A9A3-4978-B47C-AFBAEA40988F}" name="Ask2" dataDxfId="8"/>
    <tableColumn id="16" xr3:uid="{C775C88B-B271-40AB-A2E1-95CC08715934}" name="Vol V5" dataDxfId="7"/>
    <tableColumn id="17" xr3:uid="{07DF9C30-4AB5-4E2B-8FCD-8DED514ECF0D}" name="Last2" dataDxfId="6"/>
    <tableColumn id="18" xr3:uid="{E24A0B85-5D70-4302-8BA9-9468A87D1369}" name="Var %7" dataDxfId="5"/>
    <tableColumn id="19" xr3:uid="{6E19A33E-8E57-4772-8463-3BB67E048084}" name="Vol Op8" dataDxfId="4"/>
    <tableColumn id="20" xr3:uid="{38471B01-B690-409E-8DE3-71CC58C5AE13}" name="Cierre9" dataDxfId="3"/>
    <tableColumn id="21" xr3:uid="{E3B061B7-40A0-42BA-B896-8DAA159A9472}" name="Vol Imp10" dataDxfId="2"/>
    <tableColumn id="22" xr3:uid="{21C017F5-668C-4403-A1AF-5C775AE64300}" name="I.I11" dataDxfId="1"/>
    <tableColumn id="23" xr3:uid="{1512403A-1853-4563-A601-C827ADADB6B5}" name="Delta12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llaria.com.ar/Opcion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finance.yahoo.com/quote/FB211217C00440000?p=FB211217C00440000" TargetMode="External"/><Relationship Id="rId299" Type="http://schemas.openxmlformats.org/officeDocument/2006/relationships/hyperlink" Target="https://finance.yahoo.com/quote/FB211217P00490000?p=FB211217P00490000" TargetMode="External"/><Relationship Id="rId21" Type="http://schemas.openxmlformats.org/officeDocument/2006/relationships/hyperlink" Target="https://finance.yahoo.com/quote/FB211217C00200000?p=FB211217C00200000" TargetMode="External"/><Relationship Id="rId63" Type="http://schemas.openxmlformats.org/officeDocument/2006/relationships/hyperlink" Target="https://finance.yahoo.com/quote/FB211217C00305000?p=FB211217C00305000" TargetMode="External"/><Relationship Id="rId159" Type="http://schemas.openxmlformats.org/officeDocument/2006/relationships/hyperlink" Target="https://finance.yahoo.com/quote/FB211217C00550000?p=FB211217C00550000" TargetMode="External"/><Relationship Id="rId170" Type="http://schemas.openxmlformats.org/officeDocument/2006/relationships/hyperlink" Target="https://finance.yahoo.com/quote/FB/options?strike=165&amp;straddle=false" TargetMode="External"/><Relationship Id="rId226" Type="http://schemas.openxmlformats.org/officeDocument/2006/relationships/hyperlink" Target="https://finance.yahoo.com/quote/FB/options?strike=305&amp;straddle=false" TargetMode="External"/><Relationship Id="rId268" Type="http://schemas.openxmlformats.org/officeDocument/2006/relationships/hyperlink" Target="https://finance.yahoo.com/quote/FB/options?strike=410&amp;straddle=false" TargetMode="External"/><Relationship Id="rId32" Type="http://schemas.openxmlformats.org/officeDocument/2006/relationships/hyperlink" Target="https://finance.yahoo.com/quote/FB/options?strike=225&amp;straddle=false" TargetMode="External"/><Relationship Id="rId74" Type="http://schemas.openxmlformats.org/officeDocument/2006/relationships/hyperlink" Target="https://finance.yahoo.com/quote/FB/options?strike=330&amp;straddle=false" TargetMode="External"/><Relationship Id="rId128" Type="http://schemas.openxmlformats.org/officeDocument/2006/relationships/hyperlink" Target="https://finance.yahoo.com/quote/FB/options?strike=465&amp;straddle=false" TargetMode="External"/><Relationship Id="rId5" Type="http://schemas.openxmlformats.org/officeDocument/2006/relationships/hyperlink" Target="https://finance.yahoo.com/quote/FB211217C00160000?p=FB211217C00160000" TargetMode="External"/><Relationship Id="rId181" Type="http://schemas.openxmlformats.org/officeDocument/2006/relationships/hyperlink" Target="https://finance.yahoo.com/quote/FB211217P00195000?p=FB211217P00195000" TargetMode="External"/><Relationship Id="rId237" Type="http://schemas.openxmlformats.org/officeDocument/2006/relationships/hyperlink" Target="https://finance.yahoo.com/quote/FB211217P00335000?p=FB211217P00335000" TargetMode="External"/><Relationship Id="rId279" Type="http://schemas.openxmlformats.org/officeDocument/2006/relationships/hyperlink" Target="https://finance.yahoo.com/quote/FB211217P00440000?p=FB211217P00440000" TargetMode="External"/><Relationship Id="rId43" Type="http://schemas.openxmlformats.org/officeDocument/2006/relationships/hyperlink" Target="https://finance.yahoo.com/quote/FB211217C00255000?p=FB211217C00255000" TargetMode="External"/><Relationship Id="rId139" Type="http://schemas.openxmlformats.org/officeDocument/2006/relationships/hyperlink" Target="https://finance.yahoo.com/quote/FB211217C00495000?p=FB211217C00495000" TargetMode="External"/><Relationship Id="rId290" Type="http://schemas.openxmlformats.org/officeDocument/2006/relationships/hyperlink" Target="https://finance.yahoo.com/quote/FB/options?strike=465&amp;straddle=false" TargetMode="External"/><Relationship Id="rId304" Type="http://schemas.openxmlformats.org/officeDocument/2006/relationships/hyperlink" Target="https://finance.yahoo.com/quote/FB/options?strike=500&amp;straddle=false" TargetMode="External"/><Relationship Id="rId85" Type="http://schemas.openxmlformats.org/officeDocument/2006/relationships/hyperlink" Target="https://finance.yahoo.com/quote/FB211217C00360000?p=FB211217C00360000" TargetMode="External"/><Relationship Id="rId150" Type="http://schemas.openxmlformats.org/officeDocument/2006/relationships/hyperlink" Target="https://finance.yahoo.com/quote/FB/options?strike=520&amp;straddle=false" TargetMode="External"/><Relationship Id="rId192" Type="http://schemas.openxmlformats.org/officeDocument/2006/relationships/hyperlink" Target="https://finance.yahoo.com/quote/FB/options?strike=220&amp;straddle=false" TargetMode="External"/><Relationship Id="rId206" Type="http://schemas.openxmlformats.org/officeDocument/2006/relationships/hyperlink" Target="https://finance.yahoo.com/quote/FB/options?strike=255&amp;straddle=false" TargetMode="External"/><Relationship Id="rId248" Type="http://schemas.openxmlformats.org/officeDocument/2006/relationships/hyperlink" Target="https://finance.yahoo.com/quote/FB/options?strike=360&amp;straddle=false" TargetMode="External"/><Relationship Id="rId12" Type="http://schemas.openxmlformats.org/officeDocument/2006/relationships/hyperlink" Target="https://finance.yahoo.com/quote/FB/options?strike=175&amp;straddle=false" TargetMode="External"/><Relationship Id="rId108" Type="http://schemas.openxmlformats.org/officeDocument/2006/relationships/hyperlink" Target="https://finance.yahoo.com/quote/FB/options?strike=415&amp;straddle=false" TargetMode="External"/><Relationship Id="rId54" Type="http://schemas.openxmlformats.org/officeDocument/2006/relationships/hyperlink" Target="https://finance.yahoo.com/quote/FB/options?strike=280&amp;straddle=false" TargetMode="External"/><Relationship Id="rId96" Type="http://schemas.openxmlformats.org/officeDocument/2006/relationships/hyperlink" Target="https://finance.yahoo.com/quote/FB/options?strike=385&amp;straddle=false" TargetMode="External"/><Relationship Id="rId161" Type="http://schemas.openxmlformats.org/officeDocument/2006/relationships/hyperlink" Target="https://finance.yahoo.com/quote/FB211217C00560000?p=FB211217C00560000" TargetMode="External"/><Relationship Id="rId217" Type="http://schemas.openxmlformats.org/officeDocument/2006/relationships/hyperlink" Target="https://finance.yahoo.com/quote/FB211217P00285000?p=FB211217P00285000" TargetMode="External"/><Relationship Id="rId259" Type="http://schemas.openxmlformats.org/officeDocument/2006/relationships/hyperlink" Target="https://finance.yahoo.com/quote/FB211217P00390000?p=FB211217P00390000" TargetMode="External"/><Relationship Id="rId23" Type="http://schemas.openxmlformats.org/officeDocument/2006/relationships/hyperlink" Target="https://finance.yahoo.com/quote/FB211217C00205000?p=FB211217C00205000" TargetMode="External"/><Relationship Id="rId119" Type="http://schemas.openxmlformats.org/officeDocument/2006/relationships/hyperlink" Target="https://finance.yahoo.com/quote/FB211217C00445000?p=FB211217C00445000" TargetMode="External"/><Relationship Id="rId270" Type="http://schemas.openxmlformats.org/officeDocument/2006/relationships/hyperlink" Target="https://finance.yahoo.com/quote/FB/options?strike=415&amp;straddle=false" TargetMode="External"/><Relationship Id="rId65" Type="http://schemas.openxmlformats.org/officeDocument/2006/relationships/hyperlink" Target="https://finance.yahoo.com/quote/FB211217C00310000?p=FB211217C00310000" TargetMode="External"/><Relationship Id="rId130" Type="http://schemas.openxmlformats.org/officeDocument/2006/relationships/hyperlink" Target="https://finance.yahoo.com/quote/FB/options?strike=470&amp;straddle=false" TargetMode="External"/><Relationship Id="rId172" Type="http://schemas.openxmlformats.org/officeDocument/2006/relationships/hyperlink" Target="https://finance.yahoo.com/quote/FB/options?strike=170&amp;straddle=false" TargetMode="External"/><Relationship Id="rId193" Type="http://schemas.openxmlformats.org/officeDocument/2006/relationships/hyperlink" Target="https://finance.yahoo.com/quote/FB211217P00225000?p=FB211217P00225000" TargetMode="External"/><Relationship Id="rId207" Type="http://schemas.openxmlformats.org/officeDocument/2006/relationships/hyperlink" Target="https://finance.yahoo.com/quote/FB211217P00260000?p=FB211217P00260000" TargetMode="External"/><Relationship Id="rId228" Type="http://schemas.openxmlformats.org/officeDocument/2006/relationships/hyperlink" Target="https://finance.yahoo.com/quote/FB/options?strike=310&amp;straddle=false" TargetMode="External"/><Relationship Id="rId249" Type="http://schemas.openxmlformats.org/officeDocument/2006/relationships/hyperlink" Target="https://finance.yahoo.com/quote/FB211217P00365000?p=FB211217P00365000" TargetMode="External"/><Relationship Id="rId13" Type="http://schemas.openxmlformats.org/officeDocument/2006/relationships/hyperlink" Target="https://finance.yahoo.com/quote/FB211217C00180000?p=FB211217C00180000" TargetMode="External"/><Relationship Id="rId109" Type="http://schemas.openxmlformats.org/officeDocument/2006/relationships/hyperlink" Target="https://finance.yahoo.com/quote/FB211217C00420000?p=FB211217C00420000" TargetMode="External"/><Relationship Id="rId260" Type="http://schemas.openxmlformats.org/officeDocument/2006/relationships/hyperlink" Target="https://finance.yahoo.com/quote/FB/options?strike=390&amp;straddle=false" TargetMode="External"/><Relationship Id="rId281" Type="http://schemas.openxmlformats.org/officeDocument/2006/relationships/hyperlink" Target="https://finance.yahoo.com/quote/FB211217P00445000?p=FB211217P00445000" TargetMode="External"/><Relationship Id="rId34" Type="http://schemas.openxmlformats.org/officeDocument/2006/relationships/hyperlink" Target="https://finance.yahoo.com/quote/FB/options?strike=230&amp;straddle=false" TargetMode="External"/><Relationship Id="rId55" Type="http://schemas.openxmlformats.org/officeDocument/2006/relationships/hyperlink" Target="https://finance.yahoo.com/quote/FB211217C00285000?p=FB211217C00285000" TargetMode="External"/><Relationship Id="rId76" Type="http://schemas.openxmlformats.org/officeDocument/2006/relationships/hyperlink" Target="https://finance.yahoo.com/quote/FB/options?strike=335&amp;straddle=false" TargetMode="External"/><Relationship Id="rId97" Type="http://schemas.openxmlformats.org/officeDocument/2006/relationships/hyperlink" Target="https://finance.yahoo.com/quote/FB211217C00390000?p=FB211217C00390000" TargetMode="External"/><Relationship Id="rId120" Type="http://schemas.openxmlformats.org/officeDocument/2006/relationships/hyperlink" Target="https://finance.yahoo.com/quote/FB/options?strike=445&amp;straddle=false" TargetMode="External"/><Relationship Id="rId141" Type="http://schemas.openxmlformats.org/officeDocument/2006/relationships/hyperlink" Target="https://finance.yahoo.com/quote/FB211217C00500000?p=FB211217C00500000" TargetMode="External"/><Relationship Id="rId7" Type="http://schemas.openxmlformats.org/officeDocument/2006/relationships/hyperlink" Target="https://finance.yahoo.com/quote/FB211217C00165000?p=FB211217C00165000" TargetMode="External"/><Relationship Id="rId162" Type="http://schemas.openxmlformats.org/officeDocument/2006/relationships/hyperlink" Target="https://finance.yahoo.com/quote/FB/options?strike=560&amp;straddle=false" TargetMode="External"/><Relationship Id="rId183" Type="http://schemas.openxmlformats.org/officeDocument/2006/relationships/hyperlink" Target="https://finance.yahoo.com/quote/FB211217P00200000?p=FB211217P00200000" TargetMode="External"/><Relationship Id="rId218" Type="http://schemas.openxmlformats.org/officeDocument/2006/relationships/hyperlink" Target="https://finance.yahoo.com/quote/FB/options?strike=285&amp;straddle=false" TargetMode="External"/><Relationship Id="rId239" Type="http://schemas.openxmlformats.org/officeDocument/2006/relationships/hyperlink" Target="https://finance.yahoo.com/quote/FB211217P00340000?p=FB211217P00340000" TargetMode="External"/><Relationship Id="rId250" Type="http://schemas.openxmlformats.org/officeDocument/2006/relationships/hyperlink" Target="https://finance.yahoo.com/quote/FB/options?strike=365&amp;straddle=false" TargetMode="External"/><Relationship Id="rId271" Type="http://schemas.openxmlformats.org/officeDocument/2006/relationships/hyperlink" Target="https://finance.yahoo.com/quote/FB211217P00420000?p=FB211217P00420000" TargetMode="External"/><Relationship Id="rId292" Type="http://schemas.openxmlformats.org/officeDocument/2006/relationships/hyperlink" Target="https://finance.yahoo.com/quote/FB/options?strike=470&amp;straddle=false" TargetMode="External"/><Relationship Id="rId306" Type="http://schemas.openxmlformats.org/officeDocument/2006/relationships/hyperlink" Target="https://finance.yahoo.com/quote/FB/options?strike=510&amp;straddle=false" TargetMode="External"/><Relationship Id="rId24" Type="http://schemas.openxmlformats.org/officeDocument/2006/relationships/hyperlink" Target="https://finance.yahoo.com/quote/FB/options?strike=205&amp;straddle=false" TargetMode="External"/><Relationship Id="rId45" Type="http://schemas.openxmlformats.org/officeDocument/2006/relationships/hyperlink" Target="https://finance.yahoo.com/quote/FB211217C00260000?p=FB211217C00260000" TargetMode="External"/><Relationship Id="rId66" Type="http://schemas.openxmlformats.org/officeDocument/2006/relationships/hyperlink" Target="https://finance.yahoo.com/quote/FB/options?strike=310&amp;straddle=false" TargetMode="External"/><Relationship Id="rId87" Type="http://schemas.openxmlformats.org/officeDocument/2006/relationships/hyperlink" Target="https://finance.yahoo.com/quote/FB211217C00365000?p=FB211217C00365000" TargetMode="External"/><Relationship Id="rId110" Type="http://schemas.openxmlformats.org/officeDocument/2006/relationships/hyperlink" Target="https://finance.yahoo.com/quote/FB/options?strike=420&amp;straddle=false" TargetMode="External"/><Relationship Id="rId131" Type="http://schemas.openxmlformats.org/officeDocument/2006/relationships/hyperlink" Target="https://finance.yahoo.com/quote/FB211217C00475000?p=FB211217C00475000" TargetMode="External"/><Relationship Id="rId152" Type="http://schemas.openxmlformats.org/officeDocument/2006/relationships/hyperlink" Target="https://finance.yahoo.com/quote/FB/options?strike=525&amp;straddle=false" TargetMode="External"/><Relationship Id="rId173" Type="http://schemas.openxmlformats.org/officeDocument/2006/relationships/hyperlink" Target="https://finance.yahoo.com/quote/FB211217P00175000?p=FB211217P00175000" TargetMode="External"/><Relationship Id="rId194" Type="http://schemas.openxmlformats.org/officeDocument/2006/relationships/hyperlink" Target="https://finance.yahoo.com/quote/FB/options?strike=225&amp;straddle=false" TargetMode="External"/><Relationship Id="rId208" Type="http://schemas.openxmlformats.org/officeDocument/2006/relationships/hyperlink" Target="https://finance.yahoo.com/quote/FB/options?strike=260&amp;straddle=false" TargetMode="External"/><Relationship Id="rId229" Type="http://schemas.openxmlformats.org/officeDocument/2006/relationships/hyperlink" Target="https://finance.yahoo.com/quote/FB211217P00315000?p=FB211217P00315000" TargetMode="External"/><Relationship Id="rId240" Type="http://schemas.openxmlformats.org/officeDocument/2006/relationships/hyperlink" Target="https://finance.yahoo.com/quote/FB/options?strike=340&amp;straddle=false" TargetMode="External"/><Relationship Id="rId261" Type="http://schemas.openxmlformats.org/officeDocument/2006/relationships/hyperlink" Target="https://finance.yahoo.com/quote/FB211217P00395000?p=FB211217P00395000" TargetMode="External"/><Relationship Id="rId14" Type="http://schemas.openxmlformats.org/officeDocument/2006/relationships/hyperlink" Target="https://finance.yahoo.com/quote/FB/options?strike=180&amp;straddle=false" TargetMode="External"/><Relationship Id="rId35" Type="http://schemas.openxmlformats.org/officeDocument/2006/relationships/hyperlink" Target="https://finance.yahoo.com/quote/FB211217C00235000?p=FB211217C00235000" TargetMode="External"/><Relationship Id="rId56" Type="http://schemas.openxmlformats.org/officeDocument/2006/relationships/hyperlink" Target="https://finance.yahoo.com/quote/FB/options?strike=285&amp;straddle=false" TargetMode="External"/><Relationship Id="rId77" Type="http://schemas.openxmlformats.org/officeDocument/2006/relationships/hyperlink" Target="https://finance.yahoo.com/quote/FB211217C00340000?p=FB211217C00340000" TargetMode="External"/><Relationship Id="rId100" Type="http://schemas.openxmlformats.org/officeDocument/2006/relationships/hyperlink" Target="https://finance.yahoo.com/quote/FB/options?strike=395&amp;straddle=false" TargetMode="External"/><Relationship Id="rId282" Type="http://schemas.openxmlformats.org/officeDocument/2006/relationships/hyperlink" Target="https://finance.yahoo.com/quote/FB/options?strike=445&amp;straddle=false" TargetMode="External"/><Relationship Id="rId8" Type="http://schemas.openxmlformats.org/officeDocument/2006/relationships/hyperlink" Target="https://finance.yahoo.com/quote/FB/options?strike=165&amp;straddle=false" TargetMode="External"/><Relationship Id="rId98" Type="http://schemas.openxmlformats.org/officeDocument/2006/relationships/hyperlink" Target="https://finance.yahoo.com/quote/FB/options?strike=390&amp;straddle=false" TargetMode="External"/><Relationship Id="rId121" Type="http://schemas.openxmlformats.org/officeDocument/2006/relationships/hyperlink" Target="https://finance.yahoo.com/quote/FB211217C00450000?p=FB211217C00450000" TargetMode="External"/><Relationship Id="rId142" Type="http://schemas.openxmlformats.org/officeDocument/2006/relationships/hyperlink" Target="https://finance.yahoo.com/quote/FB/options?strike=500&amp;straddle=false" TargetMode="External"/><Relationship Id="rId163" Type="http://schemas.openxmlformats.org/officeDocument/2006/relationships/hyperlink" Target="https://finance.yahoo.com/quote/FB211217P00150000?p=FB211217P00150000" TargetMode="External"/><Relationship Id="rId184" Type="http://schemas.openxmlformats.org/officeDocument/2006/relationships/hyperlink" Target="https://finance.yahoo.com/quote/FB/options?strike=200&amp;straddle=false" TargetMode="External"/><Relationship Id="rId219" Type="http://schemas.openxmlformats.org/officeDocument/2006/relationships/hyperlink" Target="https://finance.yahoo.com/quote/FB211217P00290000?p=FB211217P00290000" TargetMode="External"/><Relationship Id="rId230" Type="http://schemas.openxmlformats.org/officeDocument/2006/relationships/hyperlink" Target="https://finance.yahoo.com/quote/FB/options?strike=315&amp;straddle=false" TargetMode="External"/><Relationship Id="rId251" Type="http://schemas.openxmlformats.org/officeDocument/2006/relationships/hyperlink" Target="https://finance.yahoo.com/quote/FB211217P00370000?p=FB211217P00370000" TargetMode="External"/><Relationship Id="rId25" Type="http://schemas.openxmlformats.org/officeDocument/2006/relationships/hyperlink" Target="https://finance.yahoo.com/quote/FB211217C00210000?p=FB211217C00210000" TargetMode="External"/><Relationship Id="rId46" Type="http://schemas.openxmlformats.org/officeDocument/2006/relationships/hyperlink" Target="https://finance.yahoo.com/quote/FB/options?strike=260&amp;straddle=false" TargetMode="External"/><Relationship Id="rId67" Type="http://schemas.openxmlformats.org/officeDocument/2006/relationships/hyperlink" Target="https://finance.yahoo.com/quote/FB211217C00315000?p=FB211217C00315000" TargetMode="External"/><Relationship Id="rId272" Type="http://schemas.openxmlformats.org/officeDocument/2006/relationships/hyperlink" Target="https://finance.yahoo.com/quote/FB/options?strike=420&amp;straddle=false" TargetMode="External"/><Relationship Id="rId293" Type="http://schemas.openxmlformats.org/officeDocument/2006/relationships/hyperlink" Target="https://finance.yahoo.com/quote/FB211217P00475000?p=FB211217P00475000" TargetMode="External"/><Relationship Id="rId307" Type="http://schemas.openxmlformats.org/officeDocument/2006/relationships/hyperlink" Target="https://finance.yahoo.com/quote/FB211217P00520000?p=FB211217P00520000" TargetMode="External"/><Relationship Id="rId88" Type="http://schemas.openxmlformats.org/officeDocument/2006/relationships/hyperlink" Target="https://finance.yahoo.com/quote/FB/options?strike=365&amp;straddle=false" TargetMode="External"/><Relationship Id="rId111" Type="http://schemas.openxmlformats.org/officeDocument/2006/relationships/hyperlink" Target="https://finance.yahoo.com/quote/FB211217C00425000?p=FB211217C00425000" TargetMode="External"/><Relationship Id="rId132" Type="http://schemas.openxmlformats.org/officeDocument/2006/relationships/hyperlink" Target="https://finance.yahoo.com/quote/FB/options?strike=475&amp;straddle=false" TargetMode="External"/><Relationship Id="rId153" Type="http://schemas.openxmlformats.org/officeDocument/2006/relationships/hyperlink" Target="https://finance.yahoo.com/quote/FB211217C00530000?p=FB211217C00530000" TargetMode="External"/><Relationship Id="rId174" Type="http://schemas.openxmlformats.org/officeDocument/2006/relationships/hyperlink" Target="https://finance.yahoo.com/quote/FB/options?strike=175&amp;straddle=false" TargetMode="External"/><Relationship Id="rId195" Type="http://schemas.openxmlformats.org/officeDocument/2006/relationships/hyperlink" Target="https://finance.yahoo.com/quote/FB211217P00230000?p=FB211217P00230000" TargetMode="External"/><Relationship Id="rId209" Type="http://schemas.openxmlformats.org/officeDocument/2006/relationships/hyperlink" Target="https://finance.yahoo.com/quote/FB211217P00265000?p=FB211217P00265000" TargetMode="External"/><Relationship Id="rId220" Type="http://schemas.openxmlformats.org/officeDocument/2006/relationships/hyperlink" Target="https://finance.yahoo.com/quote/FB/options?strike=290&amp;straddle=false" TargetMode="External"/><Relationship Id="rId241" Type="http://schemas.openxmlformats.org/officeDocument/2006/relationships/hyperlink" Target="https://finance.yahoo.com/quote/FB211217P00345000?p=FB211217P00345000" TargetMode="External"/><Relationship Id="rId15" Type="http://schemas.openxmlformats.org/officeDocument/2006/relationships/hyperlink" Target="https://finance.yahoo.com/quote/FB211217C00185000?p=FB211217C00185000" TargetMode="External"/><Relationship Id="rId36" Type="http://schemas.openxmlformats.org/officeDocument/2006/relationships/hyperlink" Target="https://finance.yahoo.com/quote/FB/options?strike=235&amp;straddle=false" TargetMode="External"/><Relationship Id="rId57" Type="http://schemas.openxmlformats.org/officeDocument/2006/relationships/hyperlink" Target="https://finance.yahoo.com/quote/FB211217C00290000?p=FB211217C00290000" TargetMode="External"/><Relationship Id="rId262" Type="http://schemas.openxmlformats.org/officeDocument/2006/relationships/hyperlink" Target="https://finance.yahoo.com/quote/FB/options?strike=395&amp;straddle=false" TargetMode="External"/><Relationship Id="rId283" Type="http://schemas.openxmlformats.org/officeDocument/2006/relationships/hyperlink" Target="https://finance.yahoo.com/quote/FB211217P00450000?p=FB211217P00450000" TargetMode="External"/><Relationship Id="rId78" Type="http://schemas.openxmlformats.org/officeDocument/2006/relationships/hyperlink" Target="https://finance.yahoo.com/quote/FB/options?strike=340&amp;straddle=false" TargetMode="External"/><Relationship Id="rId99" Type="http://schemas.openxmlformats.org/officeDocument/2006/relationships/hyperlink" Target="https://finance.yahoo.com/quote/FB211217C00395000?p=FB211217C00395000" TargetMode="External"/><Relationship Id="rId101" Type="http://schemas.openxmlformats.org/officeDocument/2006/relationships/hyperlink" Target="https://finance.yahoo.com/quote/FB211217C00400000?p=FB211217C00400000" TargetMode="External"/><Relationship Id="rId122" Type="http://schemas.openxmlformats.org/officeDocument/2006/relationships/hyperlink" Target="https://finance.yahoo.com/quote/FB/options?strike=450&amp;straddle=false" TargetMode="External"/><Relationship Id="rId143" Type="http://schemas.openxmlformats.org/officeDocument/2006/relationships/hyperlink" Target="https://finance.yahoo.com/quote/FB211217C00505000?p=FB211217C00505000" TargetMode="External"/><Relationship Id="rId164" Type="http://schemas.openxmlformats.org/officeDocument/2006/relationships/hyperlink" Target="https://finance.yahoo.com/quote/FB/options?strike=150&amp;straddle=false" TargetMode="External"/><Relationship Id="rId185" Type="http://schemas.openxmlformats.org/officeDocument/2006/relationships/hyperlink" Target="https://finance.yahoo.com/quote/FB211217P00205000?p=FB211217P00205000" TargetMode="External"/><Relationship Id="rId9" Type="http://schemas.openxmlformats.org/officeDocument/2006/relationships/hyperlink" Target="https://finance.yahoo.com/quote/FB211217C00170000?p=FB211217C00170000" TargetMode="External"/><Relationship Id="rId210" Type="http://schemas.openxmlformats.org/officeDocument/2006/relationships/hyperlink" Target="https://finance.yahoo.com/quote/FB/options?strike=265&amp;straddle=false" TargetMode="External"/><Relationship Id="rId26" Type="http://schemas.openxmlformats.org/officeDocument/2006/relationships/hyperlink" Target="https://finance.yahoo.com/quote/FB/options?strike=210&amp;straddle=false" TargetMode="External"/><Relationship Id="rId231" Type="http://schemas.openxmlformats.org/officeDocument/2006/relationships/hyperlink" Target="https://finance.yahoo.com/quote/FB211217P00320000?p=FB211217P00320000" TargetMode="External"/><Relationship Id="rId252" Type="http://schemas.openxmlformats.org/officeDocument/2006/relationships/hyperlink" Target="https://finance.yahoo.com/quote/FB/options?strike=370&amp;straddle=false" TargetMode="External"/><Relationship Id="rId273" Type="http://schemas.openxmlformats.org/officeDocument/2006/relationships/hyperlink" Target="https://finance.yahoo.com/quote/FB211217P00425000?p=FB211217P00425000" TargetMode="External"/><Relationship Id="rId294" Type="http://schemas.openxmlformats.org/officeDocument/2006/relationships/hyperlink" Target="https://finance.yahoo.com/quote/FB/options?strike=475&amp;straddle=false" TargetMode="External"/><Relationship Id="rId308" Type="http://schemas.openxmlformats.org/officeDocument/2006/relationships/hyperlink" Target="https://finance.yahoo.com/quote/FB/options?strike=520&amp;straddle=false" TargetMode="External"/><Relationship Id="rId47" Type="http://schemas.openxmlformats.org/officeDocument/2006/relationships/hyperlink" Target="https://finance.yahoo.com/quote/FB211217C00265000?p=FB211217C00265000" TargetMode="External"/><Relationship Id="rId68" Type="http://schemas.openxmlformats.org/officeDocument/2006/relationships/hyperlink" Target="https://finance.yahoo.com/quote/FB/options?strike=315&amp;straddle=false" TargetMode="External"/><Relationship Id="rId89" Type="http://schemas.openxmlformats.org/officeDocument/2006/relationships/hyperlink" Target="https://finance.yahoo.com/quote/FB211217C00370000?p=FB211217C00370000" TargetMode="External"/><Relationship Id="rId112" Type="http://schemas.openxmlformats.org/officeDocument/2006/relationships/hyperlink" Target="https://finance.yahoo.com/quote/FB/options?strike=425&amp;straddle=false" TargetMode="External"/><Relationship Id="rId133" Type="http://schemas.openxmlformats.org/officeDocument/2006/relationships/hyperlink" Target="https://finance.yahoo.com/quote/FB211217C00480000?p=FB211217C00480000" TargetMode="External"/><Relationship Id="rId154" Type="http://schemas.openxmlformats.org/officeDocument/2006/relationships/hyperlink" Target="https://finance.yahoo.com/quote/FB/options?strike=530&amp;straddle=false" TargetMode="External"/><Relationship Id="rId175" Type="http://schemas.openxmlformats.org/officeDocument/2006/relationships/hyperlink" Target="https://finance.yahoo.com/quote/FB211217P00180000?p=FB211217P00180000" TargetMode="External"/><Relationship Id="rId196" Type="http://schemas.openxmlformats.org/officeDocument/2006/relationships/hyperlink" Target="https://finance.yahoo.com/quote/FB/options?strike=230&amp;straddle=false" TargetMode="External"/><Relationship Id="rId200" Type="http://schemas.openxmlformats.org/officeDocument/2006/relationships/hyperlink" Target="https://finance.yahoo.com/quote/FB/options?strike=240&amp;straddle=false" TargetMode="External"/><Relationship Id="rId16" Type="http://schemas.openxmlformats.org/officeDocument/2006/relationships/hyperlink" Target="https://finance.yahoo.com/quote/FB/options?strike=185&amp;straddle=false" TargetMode="External"/><Relationship Id="rId221" Type="http://schemas.openxmlformats.org/officeDocument/2006/relationships/hyperlink" Target="https://finance.yahoo.com/quote/FB211217P00295000?p=FB211217P00295000" TargetMode="External"/><Relationship Id="rId242" Type="http://schemas.openxmlformats.org/officeDocument/2006/relationships/hyperlink" Target="https://finance.yahoo.com/quote/FB/options?strike=345&amp;straddle=false" TargetMode="External"/><Relationship Id="rId263" Type="http://schemas.openxmlformats.org/officeDocument/2006/relationships/hyperlink" Target="https://finance.yahoo.com/quote/FB211217P00400000?p=FB211217P00400000" TargetMode="External"/><Relationship Id="rId284" Type="http://schemas.openxmlformats.org/officeDocument/2006/relationships/hyperlink" Target="https://finance.yahoo.com/quote/FB/options?strike=450&amp;straddle=false" TargetMode="External"/><Relationship Id="rId37" Type="http://schemas.openxmlformats.org/officeDocument/2006/relationships/hyperlink" Target="https://finance.yahoo.com/quote/FB211217C00240000?p=FB211217C00240000" TargetMode="External"/><Relationship Id="rId58" Type="http://schemas.openxmlformats.org/officeDocument/2006/relationships/hyperlink" Target="https://finance.yahoo.com/quote/FB/options?strike=290&amp;straddle=false" TargetMode="External"/><Relationship Id="rId79" Type="http://schemas.openxmlformats.org/officeDocument/2006/relationships/hyperlink" Target="https://finance.yahoo.com/quote/FB211217C00345000?p=FB211217C00345000" TargetMode="External"/><Relationship Id="rId102" Type="http://schemas.openxmlformats.org/officeDocument/2006/relationships/hyperlink" Target="https://finance.yahoo.com/quote/FB/options?strike=400&amp;straddle=false" TargetMode="External"/><Relationship Id="rId123" Type="http://schemas.openxmlformats.org/officeDocument/2006/relationships/hyperlink" Target="https://finance.yahoo.com/quote/FB211217C00455000?p=FB211217C00455000" TargetMode="External"/><Relationship Id="rId144" Type="http://schemas.openxmlformats.org/officeDocument/2006/relationships/hyperlink" Target="https://finance.yahoo.com/quote/FB/options?strike=505&amp;straddle=false" TargetMode="External"/><Relationship Id="rId90" Type="http://schemas.openxmlformats.org/officeDocument/2006/relationships/hyperlink" Target="https://finance.yahoo.com/quote/FB/options?strike=370&amp;straddle=false" TargetMode="External"/><Relationship Id="rId165" Type="http://schemas.openxmlformats.org/officeDocument/2006/relationships/hyperlink" Target="https://finance.yahoo.com/quote/FB211217P00155000?p=FB211217P00155000" TargetMode="External"/><Relationship Id="rId186" Type="http://schemas.openxmlformats.org/officeDocument/2006/relationships/hyperlink" Target="https://finance.yahoo.com/quote/FB/options?strike=205&amp;straddle=false" TargetMode="External"/><Relationship Id="rId211" Type="http://schemas.openxmlformats.org/officeDocument/2006/relationships/hyperlink" Target="https://finance.yahoo.com/quote/FB211217P00270000?p=FB211217P00270000" TargetMode="External"/><Relationship Id="rId232" Type="http://schemas.openxmlformats.org/officeDocument/2006/relationships/hyperlink" Target="https://finance.yahoo.com/quote/FB/options?strike=320&amp;straddle=false" TargetMode="External"/><Relationship Id="rId253" Type="http://schemas.openxmlformats.org/officeDocument/2006/relationships/hyperlink" Target="https://finance.yahoo.com/quote/FB211217P00375000?p=FB211217P00375000" TargetMode="External"/><Relationship Id="rId274" Type="http://schemas.openxmlformats.org/officeDocument/2006/relationships/hyperlink" Target="https://finance.yahoo.com/quote/FB/options?strike=425&amp;straddle=false" TargetMode="External"/><Relationship Id="rId295" Type="http://schemas.openxmlformats.org/officeDocument/2006/relationships/hyperlink" Target="https://finance.yahoo.com/quote/FB211217P00480000?p=FB211217P00480000" TargetMode="External"/><Relationship Id="rId309" Type="http://schemas.openxmlformats.org/officeDocument/2006/relationships/hyperlink" Target="https://finance.yahoo.com/quote/FB211217P00540000?p=FB211217P00540000" TargetMode="External"/><Relationship Id="rId27" Type="http://schemas.openxmlformats.org/officeDocument/2006/relationships/hyperlink" Target="https://finance.yahoo.com/quote/FB211217C00215000?p=FB211217C00215000" TargetMode="External"/><Relationship Id="rId48" Type="http://schemas.openxmlformats.org/officeDocument/2006/relationships/hyperlink" Target="https://finance.yahoo.com/quote/FB/options?strike=265&amp;straddle=false" TargetMode="External"/><Relationship Id="rId69" Type="http://schemas.openxmlformats.org/officeDocument/2006/relationships/hyperlink" Target="https://finance.yahoo.com/quote/FB211217C00320000?p=FB211217C00320000" TargetMode="External"/><Relationship Id="rId113" Type="http://schemas.openxmlformats.org/officeDocument/2006/relationships/hyperlink" Target="https://finance.yahoo.com/quote/FB211217C00430000?p=FB211217C00430000" TargetMode="External"/><Relationship Id="rId134" Type="http://schemas.openxmlformats.org/officeDocument/2006/relationships/hyperlink" Target="https://finance.yahoo.com/quote/FB/options?strike=480&amp;straddle=false" TargetMode="External"/><Relationship Id="rId80" Type="http://schemas.openxmlformats.org/officeDocument/2006/relationships/hyperlink" Target="https://finance.yahoo.com/quote/FB/options?strike=345&amp;straddle=false" TargetMode="External"/><Relationship Id="rId155" Type="http://schemas.openxmlformats.org/officeDocument/2006/relationships/hyperlink" Target="https://finance.yahoo.com/quote/FB211217C00535000?p=FB211217C00535000" TargetMode="External"/><Relationship Id="rId176" Type="http://schemas.openxmlformats.org/officeDocument/2006/relationships/hyperlink" Target="https://finance.yahoo.com/quote/FB/options?strike=180&amp;straddle=false" TargetMode="External"/><Relationship Id="rId197" Type="http://schemas.openxmlformats.org/officeDocument/2006/relationships/hyperlink" Target="https://finance.yahoo.com/quote/FB211217P00235000?p=FB211217P00235000" TargetMode="External"/><Relationship Id="rId201" Type="http://schemas.openxmlformats.org/officeDocument/2006/relationships/hyperlink" Target="https://finance.yahoo.com/quote/FB211217P00245000?p=FB211217P00245000" TargetMode="External"/><Relationship Id="rId222" Type="http://schemas.openxmlformats.org/officeDocument/2006/relationships/hyperlink" Target="https://finance.yahoo.com/quote/FB/options?strike=295&amp;straddle=false" TargetMode="External"/><Relationship Id="rId243" Type="http://schemas.openxmlformats.org/officeDocument/2006/relationships/hyperlink" Target="https://finance.yahoo.com/quote/FB211217P00350000?p=FB211217P00350000" TargetMode="External"/><Relationship Id="rId264" Type="http://schemas.openxmlformats.org/officeDocument/2006/relationships/hyperlink" Target="https://finance.yahoo.com/quote/FB/options?strike=400&amp;straddle=false" TargetMode="External"/><Relationship Id="rId285" Type="http://schemas.openxmlformats.org/officeDocument/2006/relationships/hyperlink" Target="https://finance.yahoo.com/quote/FB211217P00455000?p=FB211217P00455000" TargetMode="External"/><Relationship Id="rId17" Type="http://schemas.openxmlformats.org/officeDocument/2006/relationships/hyperlink" Target="https://finance.yahoo.com/quote/FB211217C00190000?p=FB211217C00190000" TargetMode="External"/><Relationship Id="rId38" Type="http://schemas.openxmlformats.org/officeDocument/2006/relationships/hyperlink" Target="https://finance.yahoo.com/quote/FB/options?strike=240&amp;straddle=false" TargetMode="External"/><Relationship Id="rId59" Type="http://schemas.openxmlformats.org/officeDocument/2006/relationships/hyperlink" Target="https://finance.yahoo.com/quote/FB211217C00295000?p=FB211217C00295000" TargetMode="External"/><Relationship Id="rId103" Type="http://schemas.openxmlformats.org/officeDocument/2006/relationships/hyperlink" Target="https://finance.yahoo.com/quote/FB211217C00405000?p=FB211217C00405000" TargetMode="External"/><Relationship Id="rId124" Type="http://schemas.openxmlformats.org/officeDocument/2006/relationships/hyperlink" Target="https://finance.yahoo.com/quote/FB/options?strike=455&amp;straddle=false" TargetMode="External"/><Relationship Id="rId310" Type="http://schemas.openxmlformats.org/officeDocument/2006/relationships/hyperlink" Target="https://finance.yahoo.com/quote/FB/options?strike=540&amp;straddle=false" TargetMode="External"/><Relationship Id="rId70" Type="http://schemas.openxmlformats.org/officeDocument/2006/relationships/hyperlink" Target="https://finance.yahoo.com/quote/FB/options?strike=320&amp;straddle=false" TargetMode="External"/><Relationship Id="rId91" Type="http://schemas.openxmlformats.org/officeDocument/2006/relationships/hyperlink" Target="https://finance.yahoo.com/quote/FB211217C00375000?p=FB211217C00375000" TargetMode="External"/><Relationship Id="rId145" Type="http://schemas.openxmlformats.org/officeDocument/2006/relationships/hyperlink" Target="https://finance.yahoo.com/quote/FB211217C00510000?p=FB211217C00510000" TargetMode="External"/><Relationship Id="rId166" Type="http://schemas.openxmlformats.org/officeDocument/2006/relationships/hyperlink" Target="https://finance.yahoo.com/quote/FB/options?strike=155&amp;straddle=false" TargetMode="External"/><Relationship Id="rId187" Type="http://schemas.openxmlformats.org/officeDocument/2006/relationships/hyperlink" Target="https://finance.yahoo.com/quote/FB211217P00210000?p=FB211217P00210000" TargetMode="External"/><Relationship Id="rId1" Type="http://schemas.openxmlformats.org/officeDocument/2006/relationships/hyperlink" Target="https://finance.yahoo.com/quote/FB211217C00150000?p=FB211217C00150000" TargetMode="External"/><Relationship Id="rId212" Type="http://schemas.openxmlformats.org/officeDocument/2006/relationships/hyperlink" Target="https://finance.yahoo.com/quote/FB/options?strike=270&amp;straddle=false" TargetMode="External"/><Relationship Id="rId233" Type="http://schemas.openxmlformats.org/officeDocument/2006/relationships/hyperlink" Target="https://finance.yahoo.com/quote/FB211217P00325000?p=FB211217P00325000" TargetMode="External"/><Relationship Id="rId254" Type="http://schemas.openxmlformats.org/officeDocument/2006/relationships/hyperlink" Target="https://finance.yahoo.com/quote/FB/options?strike=375&amp;straddle=false" TargetMode="External"/><Relationship Id="rId28" Type="http://schemas.openxmlformats.org/officeDocument/2006/relationships/hyperlink" Target="https://finance.yahoo.com/quote/FB/options?strike=215&amp;straddle=false" TargetMode="External"/><Relationship Id="rId49" Type="http://schemas.openxmlformats.org/officeDocument/2006/relationships/hyperlink" Target="https://finance.yahoo.com/quote/FB211217C00270000?p=FB211217C00270000" TargetMode="External"/><Relationship Id="rId114" Type="http://schemas.openxmlformats.org/officeDocument/2006/relationships/hyperlink" Target="https://finance.yahoo.com/quote/FB/options?strike=430&amp;straddle=false" TargetMode="External"/><Relationship Id="rId275" Type="http://schemas.openxmlformats.org/officeDocument/2006/relationships/hyperlink" Target="https://finance.yahoo.com/quote/FB211217P00430000?p=FB211217P00430000" TargetMode="External"/><Relationship Id="rId296" Type="http://schemas.openxmlformats.org/officeDocument/2006/relationships/hyperlink" Target="https://finance.yahoo.com/quote/FB/options?strike=480&amp;straddle=false" TargetMode="External"/><Relationship Id="rId300" Type="http://schemas.openxmlformats.org/officeDocument/2006/relationships/hyperlink" Target="https://finance.yahoo.com/quote/FB/options?strike=490&amp;straddle=false" TargetMode="External"/><Relationship Id="rId60" Type="http://schemas.openxmlformats.org/officeDocument/2006/relationships/hyperlink" Target="https://finance.yahoo.com/quote/FB/options?strike=295&amp;straddle=false" TargetMode="External"/><Relationship Id="rId81" Type="http://schemas.openxmlformats.org/officeDocument/2006/relationships/hyperlink" Target="https://finance.yahoo.com/quote/FB211217C00350000?p=FB211217C00350000" TargetMode="External"/><Relationship Id="rId135" Type="http://schemas.openxmlformats.org/officeDocument/2006/relationships/hyperlink" Target="https://finance.yahoo.com/quote/FB211217C00485000?p=FB211217C00485000" TargetMode="External"/><Relationship Id="rId156" Type="http://schemas.openxmlformats.org/officeDocument/2006/relationships/hyperlink" Target="https://finance.yahoo.com/quote/FB/options?strike=535&amp;straddle=false" TargetMode="External"/><Relationship Id="rId177" Type="http://schemas.openxmlformats.org/officeDocument/2006/relationships/hyperlink" Target="https://finance.yahoo.com/quote/FB211217P00185000?p=FB211217P00185000" TargetMode="External"/><Relationship Id="rId198" Type="http://schemas.openxmlformats.org/officeDocument/2006/relationships/hyperlink" Target="https://finance.yahoo.com/quote/FB/options?strike=235&amp;straddle=false" TargetMode="External"/><Relationship Id="rId202" Type="http://schemas.openxmlformats.org/officeDocument/2006/relationships/hyperlink" Target="https://finance.yahoo.com/quote/FB/options?strike=245&amp;straddle=false" TargetMode="External"/><Relationship Id="rId223" Type="http://schemas.openxmlformats.org/officeDocument/2006/relationships/hyperlink" Target="https://finance.yahoo.com/quote/FB211217P00300000?p=FB211217P00300000" TargetMode="External"/><Relationship Id="rId244" Type="http://schemas.openxmlformats.org/officeDocument/2006/relationships/hyperlink" Target="https://finance.yahoo.com/quote/FB/options?strike=350&amp;straddle=false" TargetMode="External"/><Relationship Id="rId18" Type="http://schemas.openxmlformats.org/officeDocument/2006/relationships/hyperlink" Target="https://finance.yahoo.com/quote/FB/options?strike=190&amp;straddle=false" TargetMode="External"/><Relationship Id="rId39" Type="http://schemas.openxmlformats.org/officeDocument/2006/relationships/hyperlink" Target="https://finance.yahoo.com/quote/FB211217C00245000?p=FB211217C00245000" TargetMode="External"/><Relationship Id="rId265" Type="http://schemas.openxmlformats.org/officeDocument/2006/relationships/hyperlink" Target="https://finance.yahoo.com/quote/FB211217P00405000?p=FB211217P00405000" TargetMode="External"/><Relationship Id="rId286" Type="http://schemas.openxmlformats.org/officeDocument/2006/relationships/hyperlink" Target="https://finance.yahoo.com/quote/FB/options?strike=455&amp;straddle=false" TargetMode="External"/><Relationship Id="rId50" Type="http://schemas.openxmlformats.org/officeDocument/2006/relationships/hyperlink" Target="https://finance.yahoo.com/quote/FB/options?strike=270&amp;straddle=false" TargetMode="External"/><Relationship Id="rId104" Type="http://schemas.openxmlformats.org/officeDocument/2006/relationships/hyperlink" Target="https://finance.yahoo.com/quote/FB/options?strike=405&amp;straddle=false" TargetMode="External"/><Relationship Id="rId125" Type="http://schemas.openxmlformats.org/officeDocument/2006/relationships/hyperlink" Target="https://finance.yahoo.com/quote/FB211217C00460000?p=FB211217C00460000" TargetMode="External"/><Relationship Id="rId146" Type="http://schemas.openxmlformats.org/officeDocument/2006/relationships/hyperlink" Target="https://finance.yahoo.com/quote/FB/options?strike=510&amp;straddle=false" TargetMode="External"/><Relationship Id="rId167" Type="http://schemas.openxmlformats.org/officeDocument/2006/relationships/hyperlink" Target="https://finance.yahoo.com/quote/FB211217P00160000?p=FB211217P00160000" TargetMode="External"/><Relationship Id="rId188" Type="http://schemas.openxmlformats.org/officeDocument/2006/relationships/hyperlink" Target="https://finance.yahoo.com/quote/FB/options?strike=210&amp;straddle=false" TargetMode="External"/><Relationship Id="rId311" Type="http://schemas.openxmlformats.org/officeDocument/2006/relationships/hyperlink" Target="https://finance.yahoo.com/quote/FB211217P00550000?p=FB211217P00550000" TargetMode="External"/><Relationship Id="rId71" Type="http://schemas.openxmlformats.org/officeDocument/2006/relationships/hyperlink" Target="https://finance.yahoo.com/quote/FB211217C00325000?p=FB211217C00325000" TargetMode="External"/><Relationship Id="rId92" Type="http://schemas.openxmlformats.org/officeDocument/2006/relationships/hyperlink" Target="https://finance.yahoo.com/quote/FB/options?strike=375&amp;straddle=false" TargetMode="External"/><Relationship Id="rId213" Type="http://schemas.openxmlformats.org/officeDocument/2006/relationships/hyperlink" Target="https://finance.yahoo.com/quote/FB211217P00275000?p=FB211217P00275000" TargetMode="External"/><Relationship Id="rId234" Type="http://schemas.openxmlformats.org/officeDocument/2006/relationships/hyperlink" Target="https://finance.yahoo.com/quote/FB/options?strike=325&amp;straddle=false" TargetMode="External"/><Relationship Id="rId2" Type="http://schemas.openxmlformats.org/officeDocument/2006/relationships/hyperlink" Target="https://finance.yahoo.com/quote/FB/options?strike=150&amp;straddle=false" TargetMode="External"/><Relationship Id="rId29" Type="http://schemas.openxmlformats.org/officeDocument/2006/relationships/hyperlink" Target="https://finance.yahoo.com/quote/FB211217C00220000?p=FB211217C00220000" TargetMode="External"/><Relationship Id="rId255" Type="http://schemas.openxmlformats.org/officeDocument/2006/relationships/hyperlink" Target="https://finance.yahoo.com/quote/FB211217P00380000?p=FB211217P00380000" TargetMode="External"/><Relationship Id="rId276" Type="http://schemas.openxmlformats.org/officeDocument/2006/relationships/hyperlink" Target="https://finance.yahoo.com/quote/FB/options?strike=430&amp;straddle=false" TargetMode="External"/><Relationship Id="rId297" Type="http://schemas.openxmlformats.org/officeDocument/2006/relationships/hyperlink" Target="https://finance.yahoo.com/quote/FB211217P00485000?p=FB211217P00485000" TargetMode="External"/><Relationship Id="rId40" Type="http://schemas.openxmlformats.org/officeDocument/2006/relationships/hyperlink" Target="https://finance.yahoo.com/quote/FB/options?strike=245&amp;straddle=false" TargetMode="External"/><Relationship Id="rId115" Type="http://schemas.openxmlformats.org/officeDocument/2006/relationships/hyperlink" Target="https://finance.yahoo.com/quote/FB211217C00435000?p=FB211217C00435000" TargetMode="External"/><Relationship Id="rId136" Type="http://schemas.openxmlformats.org/officeDocument/2006/relationships/hyperlink" Target="https://finance.yahoo.com/quote/FB/options?strike=485&amp;straddle=false" TargetMode="External"/><Relationship Id="rId157" Type="http://schemas.openxmlformats.org/officeDocument/2006/relationships/hyperlink" Target="https://finance.yahoo.com/quote/FB211217C00540000?p=FB211217C00540000" TargetMode="External"/><Relationship Id="rId178" Type="http://schemas.openxmlformats.org/officeDocument/2006/relationships/hyperlink" Target="https://finance.yahoo.com/quote/FB/options?strike=185&amp;straddle=false" TargetMode="External"/><Relationship Id="rId301" Type="http://schemas.openxmlformats.org/officeDocument/2006/relationships/hyperlink" Target="https://finance.yahoo.com/quote/FB211217P00495000?p=FB211217P00495000" TargetMode="External"/><Relationship Id="rId61" Type="http://schemas.openxmlformats.org/officeDocument/2006/relationships/hyperlink" Target="https://finance.yahoo.com/quote/FB211217C00300000?p=FB211217C00300000" TargetMode="External"/><Relationship Id="rId82" Type="http://schemas.openxmlformats.org/officeDocument/2006/relationships/hyperlink" Target="https://finance.yahoo.com/quote/FB/options?strike=350&amp;straddle=false" TargetMode="External"/><Relationship Id="rId199" Type="http://schemas.openxmlformats.org/officeDocument/2006/relationships/hyperlink" Target="https://finance.yahoo.com/quote/FB211217P00240000?p=FB211217P00240000" TargetMode="External"/><Relationship Id="rId203" Type="http://schemas.openxmlformats.org/officeDocument/2006/relationships/hyperlink" Target="https://finance.yahoo.com/quote/FB211217P00250000?p=FB211217P00250000" TargetMode="External"/><Relationship Id="rId19" Type="http://schemas.openxmlformats.org/officeDocument/2006/relationships/hyperlink" Target="https://finance.yahoo.com/quote/FB211217C00195000?p=FB211217C00195000" TargetMode="External"/><Relationship Id="rId224" Type="http://schemas.openxmlformats.org/officeDocument/2006/relationships/hyperlink" Target="https://finance.yahoo.com/quote/FB/options?strike=300&amp;straddle=false" TargetMode="External"/><Relationship Id="rId245" Type="http://schemas.openxmlformats.org/officeDocument/2006/relationships/hyperlink" Target="https://finance.yahoo.com/quote/FB211217P00355000?p=FB211217P00355000" TargetMode="External"/><Relationship Id="rId266" Type="http://schemas.openxmlformats.org/officeDocument/2006/relationships/hyperlink" Target="https://finance.yahoo.com/quote/FB/options?strike=405&amp;straddle=false" TargetMode="External"/><Relationship Id="rId287" Type="http://schemas.openxmlformats.org/officeDocument/2006/relationships/hyperlink" Target="https://finance.yahoo.com/quote/FB211217P00460000?p=FB211217P00460000" TargetMode="External"/><Relationship Id="rId30" Type="http://schemas.openxmlformats.org/officeDocument/2006/relationships/hyperlink" Target="https://finance.yahoo.com/quote/FB/options?strike=220&amp;straddle=false" TargetMode="External"/><Relationship Id="rId105" Type="http://schemas.openxmlformats.org/officeDocument/2006/relationships/hyperlink" Target="https://finance.yahoo.com/quote/FB211217C00410000?p=FB211217C00410000" TargetMode="External"/><Relationship Id="rId126" Type="http://schemas.openxmlformats.org/officeDocument/2006/relationships/hyperlink" Target="https://finance.yahoo.com/quote/FB/options?strike=460&amp;straddle=false" TargetMode="External"/><Relationship Id="rId147" Type="http://schemas.openxmlformats.org/officeDocument/2006/relationships/hyperlink" Target="https://finance.yahoo.com/quote/FB211217C00515000?p=FB211217C00515000" TargetMode="External"/><Relationship Id="rId168" Type="http://schemas.openxmlformats.org/officeDocument/2006/relationships/hyperlink" Target="https://finance.yahoo.com/quote/FB/options?strike=160&amp;straddle=false" TargetMode="External"/><Relationship Id="rId312" Type="http://schemas.openxmlformats.org/officeDocument/2006/relationships/hyperlink" Target="https://finance.yahoo.com/quote/FB/options?strike=550&amp;straddle=false" TargetMode="External"/><Relationship Id="rId51" Type="http://schemas.openxmlformats.org/officeDocument/2006/relationships/hyperlink" Target="https://finance.yahoo.com/quote/FB211217C00275000?p=FB211217C00275000" TargetMode="External"/><Relationship Id="rId72" Type="http://schemas.openxmlformats.org/officeDocument/2006/relationships/hyperlink" Target="https://finance.yahoo.com/quote/FB/options?strike=325&amp;straddle=false" TargetMode="External"/><Relationship Id="rId93" Type="http://schemas.openxmlformats.org/officeDocument/2006/relationships/hyperlink" Target="https://finance.yahoo.com/quote/FB211217C00380000?p=FB211217C00380000" TargetMode="External"/><Relationship Id="rId189" Type="http://schemas.openxmlformats.org/officeDocument/2006/relationships/hyperlink" Target="https://finance.yahoo.com/quote/FB211217P00215000?p=FB211217P00215000" TargetMode="External"/><Relationship Id="rId3" Type="http://schemas.openxmlformats.org/officeDocument/2006/relationships/hyperlink" Target="https://finance.yahoo.com/quote/FB211217C00155000?p=FB211217C00155000" TargetMode="External"/><Relationship Id="rId214" Type="http://schemas.openxmlformats.org/officeDocument/2006/relationships/hyperlink" Target="https://finance.yahoo.com/quote/FB/options?strike=275&amp;straddle=false" TargetMode="External"/><Relationship Id="rId235" Type="http://schemas.openxmlformats.org/officeDocument/2006/relationships/hyperlink" Target="https://finance.yahoo.com/quote/FB211217P00330000?p=FB211217P00330000" TargetMode="External"/><Relationship Id="rId256" Type="http://schemas.openxmlformats.org/officeDocument/2006/relationships/hyperlink" Target="https://finance.yahoo.com/quote/FB/options?strike=380&amp;straddle=false" TargetMode="External"/><Relationship Id="rId277" Type="http://schemas.openxmlformats.org/officeDocument/2006/relationships/hyperlink" Target="https://finance.yahoo.com/quote/FB211217P00435000?p=FB211217P00435000" TargetMode="External"/><Relationship Id="rId298" Type="http://schemas.openxmlformats.org/officeDocument/2006/relationships/hyperlink" Target="https://finance.yahoo.com/quote/FB/options?strike=485&amp;straddle=false" TargetMode="External"/><Relationship Id="rId116" Type="http://schemas.openxmlformats.org/officeDocument/2006/relationships/hyperlink" Target="https://finance.yahoo.com/quote/FB/options?strike=435&amp;straddle=false" TargetMode="External"/><Relationship Id="rId137" Type="http://schemas.openxmlformats.org/officeDocument/2006/relationships/hyperlink" Target="https://finance.yahoo.com/quote/FB211217C00490000?p=FB211217C00490000" TargetMode="External"/><Relationship Id="rId158" Type="http://schemas.openxmlformats.org/officeDocument/2006/relationships/hyperlink" Target="https://finance.yahoo.com/quote/FB/options?strike=540&amp;straddle=false" TargetMode="External"/><Relationship Id="rId302" Type="http://schemas.openxmlformats.org/officeDocument/2006/relationships/hyperlink" Target="https://finance.yahoo.com/quote/FB/options?strike=495&amp;straddle=false" TargetMode="External"/><Relationship Id="rId20" Type="http://schemas.openxmlformats.org/officeDocument/2006/relationships/hyperlink" Target="https://finance.yahoo.com/quote/FB/options?strike=195&amp;straddle=false" TargetMode="External"/><Relationship Id="rId41" Type="http://schemas.openxmlformats.org/officeDocument/2006/relationships/hyperlink" Target="https://finance.yahoo.com/quote/FB211217C00250000?p=FB211217C00250000" TargetMode="External"/><Relationship Id="rId62" Type="http://schemas.openxmlformats.org/officeDocument/2006/relationships/hyperlink" Target="https://finance.yahoo.com/quote/FB/options?strike=300&amp;straddle=false" TargetMode="External"/><Relationship Id="rId83" Type="http://schemas.openxmlformats.org/officeDocument/2006/relationships/hyperlink" Target="https://finance.yahoo.com/quote/FB211217C00355000?p=FB211217C00355000" TargetMode="External"/><Relationship Id="rId179" Type="http://schemas.openxmlformats.org/officeDocument/2006/relationships/hyperlink" Target="https://finance.yahoo.com/quote/FB211217P00190000?p=FB211217P00190000" TargetMode="External"/><Relationship Id="rId190" Type="http://schemas.openxmlformats.org/officeDocument/2006/relationships/hyperlink" Target="https://finance.yahoo.com/quote/FB/options?strike=215&amp;straddle=false" TargetMode="External"/><Relationship Id="rId204" Type="http://schemas.openxmlformats.org/officeDocument/2006/relationships/hyperlink" Target="https://finance.yahoo.com/quote/FB/options?strike=250&amp;straddle=false" TargetMode="External"/><Relationship Id="rId225" Type="http://schemas.openxmlformats.org/officeDocument/2006/relationships/hyperlink" Target="https://finance.yahoo.com/quote/FB211217P00305000?p=FB211217P00305000" TargetMode="External"/><Relationship Id="rId246" Type="http://schemas.openxmlformats.org/officeDocument/2006/relationships/hyperlink" Target="https://finance.yahoo.com/quote/FB/options?strike=355&amp;straddle=false" TargetMode="External"/><Relationship Id="rId267" Type="http://schemas.openxmlformats.org/officeDocument/2006/relationships/hyperlink" Target="https://finance.yahoo.com/quote/FB211217P00410000?p=FB211217P00410000" TargetMode="External"/><Relationship Id="rId288" Type="http://schemas.openxmlformats.org/officeDocument/2006/relationships/hyperlink" Target="https://finance.yahoo.com/quote/FB/options?strike=460&amp;straddle=false" TargetMode="External"/><Relationship Id="rId106" Type="http://schemas.openxmlformats.org/officeDocument/2006/relationships/hyperlink" Target="https://finance.yahoo.com/quote/FB/options?strike=410&amp;straddle=false" TargetMode="External"/><Relationship Id="rId127" Type="http://schemas.openxmlformats.org/officeDocument/2006/relationships/hyperlink" Target="https://finance.yahoo.com/quote/FB211217C00465000?p=FB211217C00465000" TargetMode="External"/><Relationship Id="rId313" Type="http://schemas.openxmlformats.org/officeDocument/2006/relationships/drawing" Target="../drawings/drawing3.xml"/><Relationship Id="rId10" Type="http://schemas.openxmlformats.org/officeDocument/2006/relationships/hyperlink" Target="https://finance.yahoo.com/quote/FB/options?strike=170&amp;straddle=false" TargetMode="External"/><Relationship Id="rId31" Type="http://schemas.openxmlformats.org/officeDocument/2006/relationships/hyperlink" Target="https://finance.yahoo.com/quote/FB211217C00225000?p=FB211217C00225000" TargetMode="External"/><Relationship Id="rId52" Type="http://schemas.openxmlformats.org/officeDocument/2006/relationships/hyperlink" Target="https://finance.yahoo.com/quote/FB/options?strike=275&amp;straddle=false" TargetMode="External"/><Relationship Id="rId73" Type="http://schemas.openxmlformats.org/officeDocument/2006/relationships/hyperlink" Target="https://finance.yahoo.com/quote/FB211217C00330000?p=FB211217C00330000" TargetMode="External"/><Relationship Id="rId94" Type="http://schemas.openxmlformats.org/officeDocument/2006/relationships/hyperlink" Target="https://finance.yahoo.com/quote/FB/options?strike=380&amp;straddle=false" TargetMode="External"/><Relationship Id="rId148" Type="http://schemas.openxmlformats.org/officeDocument/2006/relationships/hyperlink" Target="https://finance.yahoo.com/quote/FB/options?strike=515&amp;straddle=false" TargetMode="External"/><Relationship Id="rId169" Type="http://schemas.openxmlformats.org/officeDocument/2006/relationships/hyperlink" Target="https://finance.yahoo.com/quote/FB211217P00165000?p=FB211217P00165000" TargetMode="External"/><Relationship Id="rId4" Type="http://schemas.openxmlformats.org/officeDocument/2006/relationships/hyperlink" Target="https://finance.yahoo.com/quote/FB/options?strike=155&amp;straddle=false" TargetMode="External"/><Relationship Id="rId180" Type="http://schemas.openxmlformats.org/officeDocument/2006/relationships/hyperlink" Target="https://finance.yahoo.com/quote/FB/options?strike=190&amp;straddle=false" TargetMode="External"/><Relationship Id="rId215" Type="http://schemas.openxmlformats.org/officeDocument/2006/relationships/hyperlink" Target="https://finance.yahoo.com/quote/FB211217P00280000?p=FB211217P00280000" TargetMode="External"/><Relationship Id="rId236" Type="http://schemas.openxmlformats.org/officeDocument/2006/relationships/hyperlink" Target="https://finance.yahoo.com/quote/FB/options?strike=330&amp;straddle=false" TargetMode="External"/><Relationship Id="rId257" Type="http://schemas.openxmlformats.org/officeDocument/2006/relationships/hyperlink" Target="https://finance.yahoo.com/quote/FB211217P00385000?p=FB211217P00385000" TargetMode="External"/><Relationship Id="rId278" Type="http://schemas.openxmlformats.org/officeDocument/2006/relationships/hyperlink" Target="https://finance.yahoo.com/quote/FB/options?strike=435&amp;straddle=false" TargetMode="External"/><Relationship Id="rId303" Type="http://schemas.openxmlformats.org/officeDocument/2006/relationships/hyperlink" Target="https://finance.yahoo.com/quote/FB211217P00500000?p=FB211217P00500000" TargetMode="External"/><Relationship Id="rId42" Type="http://schemas.openxmlformats.org/officeDocument/2006/relationships/hyperlink" Target="https://finance.yahoo.com/quote/FB/options?strike=250&amp;straddle=false" TargetMode="External"/><Relationship Id="rId84" Type="http://schemas.openxmlformats.org/officeDocument/2006/relationships/hyperlink" Target="https://finance.yahoo.com/quote/FB/options?strike=355&amp;straddle=false" TargetMode="External"/><Relationship Id="rId138" Type="http://schemas.openxmlformats.org/officeDocument/2006/relationships/hyperlink" Target="https://finance.yahoo.com/quote/FB/options?strike=490&amp;straddle=false" TargetMode="External"/><Relationship Id="rId191" Type="http://schemas.openxmlformats.org/officeDocument/2006/relationships/hyperlink" Target="https://finance.yahoo.com/quote/FB211217P00220000?p=FB211217P00220000" TargetMode="External"/><Relationship Id="rId205" Type="http://schemas.openxmlformats.org/officeDocument/2006/relationships/hyperlink" Target="https://finance.yahoo.com/quote/FB211217P00255000?p=FB211217P00255000" TargetMode="External"/><Relationship Id="rId247" Type="http://schemas.openxmlformats.org/officeDocument/2006/relationships/hyperlink" Target="https://finance.yahoo.com/quote/FB211217P00360000?p=FB211217P00360000" TargetMode="External"/><Relationship Id="rId107" Type="http://schemas.openxmlformats.org/officeDocument/2006/relationships/hyperlink" Target="https://finance.yahoo.com/quote/FB211217C00415000?p=FB211217C00415000" TargetMode="External"/><Relationship Id="rId289" Type="http://schemas.openxmlformats.org/officeDocument/2006/relationships/hyperlink" Target="https://finance.yahoo.com/quote/FB211217P00465000?p=FB211217P00465000" TargetMode="External"/><Relationship Id="rId11" Type="http://schemas.openxmlformats.org/officeDocument/2006/relationships/hyperlink" Target="https://finance.yahoo.com/quote/FB211217C00175000?p=FB211217C00175000" TargetMode="External"/><Relationship Id="rId53" Type="http://schemas.openxmlformats.org/officeDocument/2006/relationships/hyperlink" Target="https://finance.yahoo.com/quote/FB211217C00280000?p=FB211217C00280000" TargetMode="External"/><Relationship Id="rId149" Type="http://schemas.openxmlformats.org/officeDocument/2006/relationships/hyperlink" Target="https://finance.yahoo.com/quote/FB211217C00520000?p=FB211217C00520000" TargetMode="External"/><Relationship Id="rId95" Type="http://schemas.openxmlformats.org/officeDocument/2006/relationships/hyperlink" Target="https://finance.yahoo.com/quote/FB211217C00385000?p=FB211217C00385000" TargetMode="External"/><Relationship Id="rId160" Type="http://schemas.openxmlformats.org/officeDocument/2006/relationships/hyperlink" Target="https://finance.yahoo.com/quote/FB/options?strike=550&amp;straddle=false" TargetMode="External"/><Relationship Id="rId216" Type="http://schemas.openxmlformats.org/officeDocument/2006/relationships/hyperlink" Target="https://finance.yahoo.com/quote/FB/options?strike=280&amp;straddle=false" TargetMode="External"/><Relationship Id="rId258" Type="http://schemas.openxmlformats.org/officeDocument/2006/relationships/hyperlink" Target="https://finance.yahoo.com/quote/FB/options?strike=385&amp;straddle=false" TargetMode="External"/><Relationship Id="rId22" Type="http://schemas.openxmlformats.org/officeDocument/2006/relationships/hyperlink" Target="https://finance.yahoo.com/quote/FB/options?strike=200&amp;straddle=false" TargetMode="External"/><Relationship Id="rId64" Type="http://schemas.openxmlformats.org/officeDocument/2006/relationships/hyperlink" Target="https://finance.yahoo.com/quote/FB/options?strike=305&amp;straddle=false" TargetMode="External"/><Relationship Id="rId118" Type="http://schemas.openxmlformats.org/officeDocument/2006/relationships/hyperlink" Target="https://finance.yahoo.com/quote/FB/options?strike=440&amp;straddle=false" TargetMode="External"/><Relationship Id="rId171" Type="http://schemas.openxmlformats.org/officeDocument/2006/relationships/hyperlink" Target="https://finance.yahoo.com/quote/FB211217P00170000?p=FB211217P00170000" TargetMode="External"/><Relationship Id="rId227" Type="http://schemas.openxmlformats.org/officeDocument/2006/relationships/hyperlink" Target="https://finance.yahoo.com/quote/FB211217P00310000?p=FB211217P00310000" TargetMode="External"/><Relationship Id="rId269" Type="http://schemas.openxmlformats.org/officeDocument/2006/relationships/hyperlink" Target="https://finance.yahoo.com/quote/FB211217P00415000?p=FB211217P00415000" TargetMode="External"/><Relationship Id="rId33" Type="http://schemas.openxmlformats.org/officeDocument/2006/relationships/hyperlink" Target="https://finance.yahoo.com/quote/FB211217C00230000?p=FB211217C00230000" TargetMode="External"/><Relationship Id="rId129" Type="http://schemas.openxmlformats.org/officeDocument/2006/relationships/hyperlink" Target="https://finance.yahoo.com/quote/FB211217C00470000?p=FB211217C00470000" TargetMode="External"/><Relationship Id="rId280" Type="http://schemas.openxmlformats.org/officeDocument/2006/relationships/hyperlink" Target="https://finance.yahoo.com/quote/FB/options?strike=440&amp;straddle=false" TargetMode="External"/><Relationship Id="rId75" Type="http://schemas.openxmlformats.org/officeDocument/2006/relationships/hyperlink" Target="https://finance.yahoo.com/quote/FB211217C00335000?p=FB211217C00335000" TargetMode="External"/><Relationship Id="rId140" Type="http://schemas.openxmlformats.org/officeDocument/2006/relationships/hyperlink" Target="https://finance.yahoo.com/quote/FB/options?strike=495&amp;straddle=false" TargetMode="External"/><Relationship Id="rId182" Type="http://schemas.openxmlformats.org/officeDocument/2006/relationships/hyperlink" Target="https://finance.yahoo.com/quote/FB/options?strike=195&amp;straddle=false" TargetMode="External"/><Relationship Id="rId6" Type="http://schemas.openxmlformats.org/officeDocument/2006/relationships/hyperlink" Target="https://finance.yahoo.com/quote/FB/options?strike=160&amp;straddle=false" TargetMode="External"/><Relationship Id="rId238" Type="http://schemas.openxmlformats.org/officeDocument/2006/relationships/hyperlink" Target="https://finance.yahoo.com/quote/FB/options?strike=335&amp;straddle=false" TargetMode="External"/><Relationship Id="rId291" Type="http://schemas.openxmlformats.org/officeDocument/2006/relationships/hyperlink" Target="https://finance.yahoo.com/quote/FB211217P00470000?p=FB211217P00470000" TargetMode="External"/><Relationship Id="rId305" Type="http://schemas.openxmlformats.org/officeDocument/2006/relationships/hyperlink" Target="https://finance.yahoo.com/quote/FB211217P00510000?p=FB211217P00510000" TargetMode="External"/><Relationship Id="rId44" Type="http://schemas.openxmlformats.org/officeDocument/2006/relationships/hyperlink" Target="https://finance.yahoo.com/quote/FB/options?strike=255&amp;straddle=false" TargetMode="External"/><Relationship Id="rId86" Type="http://schemas.openxmlformats.org/officeDocument/2006/relationships/hyperlink" Target="https://finance.yahoo.com/quote/FB/options?strike=360&amp;straddle=false" TargetMode="External"/><Relationship Id="rId151" Type="http://schemas.openxmlformats.org/officeDocument/2006/relationships/hyperlink" Target="https://finance.yahoo.com/quote/FB211217C00525000?p=FB211217C00525000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cmegroup.com/trading/agricultural/grain-and-oilseed/soybean_quotes_globex_options.html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matbarofex.primary.ventures/opciones/agropecuarias" TargetMode="External"/><Relationship Id="rId4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deribit.com/ma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98840-C347-4A7E-BD47-7CB0EB0E2997}">
  <sheetPr codeName="Sheet6"/>
  <dimension ref="A1"/>
  <sheetViews>
    <sheetView workbookViewId="0">
      <selection activeCell="M5" sqref="M5"/>
    </sheetView>
  </sheetViews>
  <sheetFormatPr defaultRowHeight="12.7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FE920-48F0-4280-9793-265F9207B2D7}">
  <sheetPr codeName="Sheet2" filterMode="1"/>
  <dimension ref="A1:P133"/>
  <sheetViews>
    <sheetView tabSelected="1" workbookViewId="0">
      <selection activeCell="G4" sqref="G4"/>
    </sheetView>
  </sheetViews>
  <sheetFormatPr defaultRowHeight="12.75"/>
  <cols>
    <col min="1" max="1" width="12.42578125" customWidth="1"/>
    <col min="2" max="2" width="12.5703125" bestFit="1" customWidth="1"/>
    <col min="5" max="5" width="21.140625" bestFit="1" customWidth="1"/>
    <col min="14" max="14" width="15.42578125" bestFit="1" customWidth="1"/>
  </cols>
  <sheetData>
    <row r="1" spans="1:16">
      <c r="A1" s="7" t="s">
        <v>21</v>
      </c>
      <c r="B1" s="3" t="s">
        <v>84</v>
      </c>
      <c r="C1" s="2"/>
      <c r="D1" s="2"/>
      <c r="E1" s="2"/>
    </row>
    <row r="2" spans="1:16">
      <c r="A2" s="7" t="s">
        <v>23</v>
      </c>
      <c r="B2" s="1" t="s">
        <v>24</v>
      </c>
      <c r="C2" s="2"/>
      <c r="D2" s="2"/>
      <c r="E2" s="2"/>
    </row>
    <row r="3" spans="1:16">
      <c r="A3" s="7" t="s">
        <v>26</v>
      </c>
      <c r="B3" s="1" t="s">
        <v>27</v>
      </c>
      <c r="C3" s="2"/>
      <c r="D3" s="2"/>
      <c r="E3" s="2"/>
      <c r="N3" s="6"/>
      <c r="P3" s="43"/>
    </row>
    <row r="4" spans="1:16">
      <c r="A4" s="7" t="s">
        <v>28</v>
      </c>
      <c r="B4" s="1" t="s">
        <v>85</v>
      </c>
      <c r="C4" s="2"/>
      <c r="D4" s="2"/>
      <c r="E4" s="2"/>
      <c r="N4" s="6"/>
      <c r="P4" s="43" t="s">
        <v>92</v>
      </c>
    </row>
    <row r="5" spans="1:16">
      <c r="A5" s="7" t="s">
        <v>25</v>
      </c>
      <c r="B5" s="1" t="s">
        <v>94</v>
      </c>
      <c r="C5" s="2"/>
      <c r="D5" s="2"/>
      <c r="E5" s="2"/>
      <c r="N5" s="6"/>
    </row>
    <row r="6" spans="1:16">
      <c r="A6" s="7" t="s">
        <v>88</v>
      </c>
      <c r="B6" s="2">
        <v>236.5</v>
      </c>
      <c r="C6" s="2"/>
      <c r="D6" s="2"/>
      <c r="E6" s="2"/>
      <c r="N6" s="6"/>
    </row>
    <row r="7" spans="1:16">
      <c r="A7" s="7" t="s">
        <v>90</v>
      </c>
      <c r="B7" s="1" t="s">
        <v>96</v>
      </c>
      <c r="C7" s="2"/>
      <c r="D7" s="2"/>
      <c r="E7" s="2"/>
      <c r="N7" s="6"/>
    </row>
    <row r="8" spans="1:16">
      <c r="N8" s="6"/>
    </row>
    <row r="9" spans="1:16" ht="27.75" thickBot="1">
      <c r="A9" s="28" t="s">
        <v>42</v>
      </c>
      <c r="B9" s="28" t="s">
        <v>43</v>
      </c>
      <c r="C9" s="28" t="s">
        <v>44</v>
      </c>
      <c r="D9" s="28" t="s">
        <v>45</v>
      </c>
      <c r="E9" s="28" t="s">
        <v>46</v>
      </c>
      <c r="F9" s="28" t="s">
        <v>47</v>
      </c>
      <c r="G9" s="28" t="s">
        <v>48</v>
      </c>
      <c r="H9" s="28" t="s">
        <v>49</v>
      </c>
      <c r="I9" s="28" t="s">
        <v>50</v>
      </c>
      <c r="J9" s="28" t="s">
        <v>51</v>
      </c>
      <c r="K9" s="28" t="s">
        <v>52</v>
      </c>
      <c r="L9" s="28" t="s">
        <v>53</v>
      </c>
      <c r="M9" s="28" t="s">
        <v>54</v>
      </c>
      <c r="N9" s="28" t="s">
        <v>55</v>
      </c>
    </row>
    <row r="10" spans="1:16" ht="12.6" customHeight="1">
      <c r="A10" s="45" t="s">
        <v>94</v>
      </c>
      <c r="B10" s="47" t="s">
        <v>340</v>
      </c>
      <c r="C10" s="45" t="s">
        <v>56</v>
      </c>
      <c r="D10" s="45" t="s">
        <v>96</v>
      </c>
      <c r="E10" s="45">
        <v>87</v>
      </c>
      <c r="F10" s="51">
        <v>137.72999999999999</v>
      </c>
      <c r="G10" s="30"/>
      <c r="H10" s="45" t="s">
        <v>98</v>
      </c>
      <c r="I10" s="45" t="s">
        <v>341</v>
      </c>
      <c r="J10" s="45" t="s">
        <v>341</v>
      </c>
      <c r="K10" s="45" t="s">
        <v>98</v>
      </c>
      <c r="L10" s="45">
        <v>500</v>
      </c>
      <c r="M10" s="45"/>
      <c r="N10" s="45" t="s">
        <v>342</v>
      </c>
    </row>
    <row r="11" spans="1:16" ht="13.5" thickBot="1">
      <c r="A11" s="46" t="s">
        <v>94</v>
      </c>
      <c r="B11" s="48" t="s">
        <v>343</v>
      </c>
      <c r="C11" s="46" t="s">
        <v>56</v>
      </c>
      <c r="D11" s="46" t="s">
        <v>96</v>
      </c>
      <c r="E11" s="46">
        <v>90</v>
      </c>
      <c r="F11" s="50">
        <v>134.91</v>
      </c>
      <c r="G11" s="29"/>
      <c r="H11" s="46" t="s">
        <v>98</v>
      </c>
      <c r="I11" s="46" t="s">
        <v>344</v>
      </c>
      <c r="J11" s="46" t="s">
        <v>344</v>
      </c>
      <c r="K11" s="46" t="s">
        <v>98</v>
      </c>
      <c r="L11" s="46">
        <v>500</v>
      </c>
      <c r="M11" s="46"/>
      <c r="N11" s="46" t="s">
        <v>345</v>
      </c>
    </row>
    <row r="12" spans="1:16" ht="12.6" customHeight="1">
      <c r="A12" s="45" t="s">
        <v>94</v>
      </c>
      <c r="B12" s="47" t="s">
        <v>346</v>
      </c>
      <c r="C12" s="45" t="s">
        <v>56</v>
      </c>
      <c r="D12" s="45" t="s">
        <v>96</v>
      </c>
      <c r="E12" s="45">
        <v>93</v>
      </c>
      <c r="F12" s="49">
        <v>132.09</v>
      </c>
      <c r="G12" s="30"/>
      <c r="H12" s="45" t="s">
        <v>98</v>
      </c>
      <c r="I12" s="45" t="s">
        <v>347</v>
      </c>
      <c r="J12" s="45" t="s">
        <v>347</v>
      </c>
      <c r="K12" s="45" t="s">
        <v>98</v>
      </c>
      <c r="L12" s="45">
        <v>500</v>
      </c>
      <c r="M12" s="45"/>
      <c r="N12" s="45" t="s">
        <v>348</v>
      </c>
    </row>
    <row r="13" spans="1:16" ht="13.5" thickBot="1">
      <c r="A13" s="46" t="s">
        <v>94</v>
      </c>
      <c r="B13" s="48" t="s">
        <v>331</v>
      </c>
      <c r="C13" s="46" t="s">
        <v>56</v>
      </c>
      <c r="D13" s="46" t="s">
        <v>96</v>
      </c>
      <c r="E13" s="46">
        <v>96</v>
      </c>
      <c r="F13" s="50">
        <v>130.13</v>
      </c>
      <c r="G13" s="29"/>
      <c r="H13" s="46" t="s">
        <v>98</v>
      </c>
      <c r="I13" s="46" t="s">
        <v>332</v>
      </c>
      <c r="J13" s="46" t="s">
        <v>332</v>
      </c>
      <c r="K13" s="46" t="s">
        <v>98</v>
      </c>
      <c r="L13" s="46">
        <v>600</v>
      </c>
      <c r="M13" s="46"/>
      <c r="N13" s="46" t="s">
        <v>330</v>
      </c>
    </row>
    <row r="14" spans="1:16" ht="12.6" customHeight="1">
      <c r="A14" s="45" t="s">
        <v>94</v>
      </c>
      <c r="B14" s="47" t="s">
        <v>333</v>
      </c>
      <c r="C14" s="45" t="s">
        <v>56</v>
      </c>
      <c r="D14" s="45" t="s">
        <v>96</v>
      </c>
      <c r="E14" s="45">
        <v>99</v>
      </c>
      <c r="F14" s="51">
        <v>128.57</v>
      </c>
      <c r="G14" s="49"/>
      <c r="H14" s="45" t="s">
        <v>78</v>
      </c>
      <c r="I14" s="45" t="s">
        <v>334</v>
      </c>
      <c r="J14" s="45" t="s">
        <v>334</v>
      </c>
      <c r="K14" s="45" t="s">
        <v>98</v>
      </c>
      <c r="L14" s="45">
        <v>600</v>
      </c>
      <c r="M14" s="45"/>
      <c r="N14" s="45" t="s">
        <v>335</v>
      </c>
    </row>
    <row r="15" spans="1:16" ht="13.5" thickBot="1">
      <c r="A15" s="46" t="s">
        <v>94</v>
      </c>
      <c r="B15" s="48" t="s">
        <v>327</v>
      </c>
      <c r="C15" s="46" t="s">
        <v>56</v>
      </c>
      <c r="D15" s="46" t="s">
        <v>96</v>
      </c>
      <c r="E15" s="46">
        <v>102</v>
      </c>
      <c r="F15" s="57">
        <v>124.44</v>
      </c>
      <c r="G15" s="60"/>
      <c r="H15" s="46" t="s">
        <v>98</v>
      </c>
      <c r="I15" s="46" t="s">
        <v>328</v>
      </c>
      <c r="J15" s="46" t="s">
        <v>329</v>
      </c>
      <c r="K15" s="46" t="s">
        <v>98</v>
      </c>
      <c r="L15" s="46">
        <v>900</v>
      </c>
      <c r="M15" s="46"/>
      <c r="N15" s="46" t="s">
        <v>330</v>
      </c>
    </row>
    <row r="16" spans="1:16">
      <c r="A16" s="45" t="s">
        <v>94</v>
      </c>
      <c r="B16" s="47" t="s">
        <v>323</v>
      </c>
      <c r="C16" s="45" t="s">
        <v>56</v>
      </c>
      <c r="D16" s="45" t="s">
        <v>96</v>
      </c>
      <c r="E16" s="45">
        <v>111</v>
      </c>
      <c r="F16" s="49">
        <v>117.44</v>
      </c>
      <c r="G16" s="58"/>
      <c r="H16" s="45" t="s">
        <v>78</v>
      </c>
      <c r="I16" s="45" t="s">
        <v>325</v>
      </c>
      <c r="J16" s="45" t="s">
        <v>324</v>
      </c>
      <c r="K16" s="45" t="s">
        <v>78</v>
      </c>
      <c r="L16" s="45">
        <v>1000</v>
      </c>
      <c r="M16" s="45"/>
      <c r="N16" s="45" t="s">
        <v>326</v>
      </c>
    </row>
    <row r="17" spans="1:14" ht="13.5" thickBot="1">
      <c r="A17" s="46" t="s">
        <v>94</v>
      </c>
      <c r="B17" s="48" t="s">
        <v>349</v>
      </c>
      <c r="C17" s="46" t="s">
        <v>56</v>
      </c>
      <c r="D17" s="46" t="s">
        <v>96</v>
      </c>
      <c r="E17" s="46">
        <v>129</v>
      </c>
      <c r="F17" s="50">
        <v>98.8</v>
      </c>
      <c r="G17" s="29"/>
      <c r="H17" s="46" t="s">
        <v>98</v>
      </c>
      <c r="I17" s="46" t="s">
        <v>350</v>
      </c>
      <c r="J17" s="46" t="s">
        <v>350</v>
      </c>
      <c r="K17" s="46" t="s">
        <v>98</v>
      </c>
      <c r="L17" s="46">
        <v>500</v>
      </c>
      <c r="M17" s="46"/>
      <c r="N17" s="46" t="s">
        <v>351</v>
      </c>
    </row>
    <row r="18" spans="1:14" ht="13.5" thickBot="1">
      <c r="A18" s="45" t="s">
        <v>94</v>
      </c>
      <c r="B18" s="47" t="s">
        <v>316</v>
      </c>
      <c r="C18" s="45" t="s">
        <v>56</v>
      </c>
      <c r="D18" s="45" t="s">
        <v>96</v>
      </c>
      <c r="E18" s="45">
        <v>132</v>
      </c>
      <c r="F18" s="49">
        <v>102.61</v>
      </c>
      <c r="G18" s="59"/>
      <c r="H18" s="45" t="s">
        <v>98</v>
      </c>
      <c r="I18" s="45" t="s">
        <v>317</v>
      </c>
      <c r="J18" s="45" t="s">
        <v>318</v>
      </c>
      <c r="K18" s="45" t="s">
        <v>41</v>
      </c>
      <c r="L18" s="45">
        <v>200</v>
      </c>
      <c r="M18" s="45"/>
      <c r="N18" s="45" t="s">
        <v>319</v>
      </c>
    </row>
    <row r="19" spans="1:14" ht="13.5" hidden="1" thickBot="1">
      <c r="A19" s="46" t="s">
        <v>94</v>
      </c>
      <c r="B19" s="48" t="s">
        <v>133</v>
      </c>
      <c r="C19" s="46" t="s">
        <v>73</v>
      </c>
      <c r="D19" s="46" t="s">
        <v>96</v>
      </c>
      <c r="E19" s="46">
        <v>210</v>
      </c>
      <c r="F19" s="50" t="s">
        <v>134</v>
      </c>
      <c r="G19" s="31"/>
      <c r="H19" s="46" t="s">
        <v>135</v>
      </c>
      <c r="I19" s="46" t="s">
        <v>136</v>
      </c>
      <c r="J19" s="46" t="s">
        <v>137</v>
      </c>
      <c r="K19" s="46" t="s">
        <v>100</v>
      </c>
      <c r="L19" s="46" t="s">
        <v>138</v>
      </c>
      <c r="M19" s="46"/>
      <c r="N19" s="46" t="s">
        <v>101</v>
      </c>
    </row>
    <row r="20" spans="1:14">
      <c r="A20" s="45" t="s">
        <v>94</v>
      </c>
      <c r="B20" s="47" t="s">
        <v>352</v>
      </c>
      <c r="C20" s="45" t="s">
        <v>56</v>
      </c>
      <c r="D20" s="45" t="s">
        <v>96</v>
      </c>
      <c r="E20" s="45">
        <v>135</v>
      </c>
      <c r="F20" s="51">
        <v>93.12</v>
      </c>
      <c r="G20" s="30"/>
      <c r="H20" s="45" t="s">
        <v>353</v>
      </c>
      <c r="I20" s="45" t="s">
        <v>354</v>
      </c>
      <c r="J20" s="45" t="s">
        <v>355</v>
      </c>
      <c r="K20" s="45" t="s">
        <v>98</v>
      </c>
      <c r="L20" s="45">
        <v>500</v>
      </c>
      <c r="M20" s="45"/>
      <c r="N20" s="52" t="s">
        <v>351</v>
      </c>
    </row>
    <row r="21" spans="1:14" ht="13.5" hidden="1" thickBot="1">
      <c r="A21" s="46" t="s">
        <v>94</v>
      </c>
      <c r="B21" s="48" t="s">
        <v>142</v>
      </c>
      <c r="C21" s="46" t="s">
        <v>73</v>
      </c>
      <c r="D21" s="46" t="s">
        <v>96</v>
      </c>
      <c r="E21" s="46">
        <v>220</v>
      </c>
      <c r="F21" s="50" t="s">
        <v>143</v>
      </c>
      <c r="G21" s="31"/>
      <c r="H21" s="46" t="s">
        <v>80</v>
      </c>
      <c r="I21" s="46" t="s">
        <v>144</v>
      </c>
      <c r="J21" s="46" t="s">
        <v>143</v>
      </c>
      <c r="K21" s="46" t="s">
        <v>71</v>
      </c>
      <c r="L21" s="46" t="s">
        <v>145</v>
      </c>
      <c r="M21" s="46"/>
      <c r="N21" s="46" t="s">
        <v>146</v>
      </c>
    </row>
    <row r="22" spans="1:14" ht="12.6" hidden="1" customHeight="1">
      <c r="A22" s="45" t="s">
        <v>94</v>
      </c>
      <c r="B22" s="47" t="s">
        <v>147</v>
      </c>
      <c r="C22" s="45" t="s">
        <v>73</v>
      </c>
      <c r="D22" s="45" t="s">
        <v>96</v>
      </c>
      <c r="E22" s="45">
        <v>230</v>
      </c>
      <c r="F22" s="49" t="s">
        <v>148</v>
      </c>
      <c r="G22" s="49"/>
      <c r="H22" s="45" t="s">
        <v>78</v>
      </c>
      <c r="I22" s="45" t="s">
        <v>149</v>
      </c>
      <c r="J22" s="45" t="s">
        <v>150</v>
      </c>
      <c r="K22" s="45" t="s">
        <v>98</v>
      </c>
      <c r="L22" s="45" t="s">
        <v>151</v>
      </c>
      <c r="M22" s="45"/>
      <c r="N22" s="45" t="s">
        <v>101</v>
      </c>
    </row>
    <row r="23" spans="1:14" ht="13.5" thickBot="1">
      <c r="A23" s="46" t="s">
        <v>94</v>
      </c>
      <c r="B23" s="48" t="s">
        <v>165</v>
      </c>
      <c r="C23" s="46" t="s">
        <v>56</v>
      </c>
      <c r="D23" s="46" t="s">
        <v>96</v>
      </c>
      <c r="E23" s="46">
        <v>140</v>
      </c>
      <c r="F23" s="57">
        <v>94.15</v>
      </c>
      <c r="G23" s="60"/>
      <c r="H23" s="46" t="s">
        <v>78</v>
      </c>
      <c r="I23" s="46" t="s">
        <v>166</v>
      </c>
      <c r="J23" s="46" t="s">
        <v>167</v>
      </c>
      <c r="K23" s="46" t="s">
        <v>98</v>
      </c>
      <c r="L23" s="46">
        <v>10800</v>
      </c>
      <c r="M23" s="46"/>
      <c r="N23" s="46" t="s">
        <v>168</v>
      </c>
    </row>
    <row r="24" spans="1:14" ht="12.6" customHeight="1">
      <c r="A24" s="45" t="s">
        <v>94</v>
      </c>
      <c r="B24" s="47" t="s">
        <v>231</v>
      </c>
      <c r="C24" s="45" t="s">
        <v>56</v>
      </c>
      <c r="D24" s="45" t="s">
        <v>96</v>
      </c>
      <c r="E24" s="45">
        <v>145</v>
      </c>
      <c r="F24" s="49">
        <v>87</v>
      </c>
      <c r="G24" s="59"/>
      <c r="H24" s="45" t="s">
        <v>78</v>
      </c>
      <c r="I24" s="45" t="s">
        <v>232</v>
      </c>
      <c r="J24" s="45" t="s">
        <v>233</v>
      </c>
      <c r="K24" s="45" t="s">
        <v>112</v>
      </c>
      <c r="L24" s="45">
        <v>700</v>
      </c>
      <c r="M24" s="45"/>
      <c r="N24" s="45" t="s">
        <v>234</v>
      </c>
    </row>
    <row r="25" spans="1:14" ht="13.5" thickBot="1">
      <c r="A25" s="46" t="s">
        <v>94</v>
      </c>
      <c r="B25" s="48" t="s">
        <v>320</v>
      </c>
      <c r="C25" s="46" t="s">
        <v>56</v>
      </c>
      <c r="D25" s="46" t="s">
        <v>96</v>
      </c>
      <c r="E25" s="46">
        <v>150</v>
      </c>
      <c r="F25" s="50">
        <v>81</v>
      </c>
      <c r="G25" s="56"/>
      <c r="H25" s="46" t="s">
        <v>41</v>
      </c>
      <c r="I25" s="46" t="s">
        <v>321</v>
      </c>
      <c r="J25" s="46" t="s">
        <v>283</v>
      </c>
      <c r="K25" s="46" t="s">
        <v>80</v>
      </c>
      <c r="L25" s="46">
        <v>100</v>
      </c>
      <c r="M25" s="46"/>
      <c r="N25" s="46" t="s">
        <v>322</v>
      </c>
    </row>
    <row r="26" spans="1:14" ht="13.5" thickBot="1">
      <c r="A26" s="45" t="s">
        <v>94</v>
      </c>
      <c r="B26" s="47" t="s">
        <v>336</v>
      </c>
      <c r="C26" s="45" t="s">
        <v>56</v>
      </c>
      <c r="D26" s="45" t="s">
        <v>96</v>
      </c>
      <c r="E26" s="45">
        <v>155</v>
      </c>
      <c r="F26" s="49">
        <v>76.08</v>
      </c>
      <c r="G26" s="58"/>
      <c r="H26" s="45" t="s">
        <v>98</v>
      </c>
      <c r="I26" s="45" t="s">
        <v>337</v>
      </c>
      <c r="J26" s="45" t="s">
        <v>338</v>
      </c>
      <c r="K26" s="45" t="s">
        <v>98</v>
      </c>
      <c r="L26" s="45">
        <v>1000</v>
      </c>
      <c r="M26" s="45"/>
      <c r="N26" s="45" t="s">
        <v>339</v>
      </c>
    </row>
    <row r="27" spans="1:14" ht="13.5" hidden="1" thickBot="1">
      <c r="A27" s="46" t="s">
        <v>94</v>
      </c>
      <c r="B27" s="48" t="s">
        <v>169</v>
      </c>
      <c r="C27" s="46" t="s">
        <v>73</v>
      </c>
      <c r="D27" s="46" t="s">
        <v>96</v>
      </c>
      <c r="E27" s="46">
        <v>240</v>
      </c>
      <c r="F27" s="50" t="s">
        <v>74</v>
      </c>
      <c r="G27" s="29"/>
      <c r="H27" s="46" t="s">
        <v>112</v>
      </c>
      <c r="I27" s="46" t="s">
        <v>74</v>
      </c>
      <c r="J27" s="46" t="s">
        <v>170</v>
      </c>
      <c r="K27" s="46" t="s">
        <v>78</v>
      </c>
      <c r="L27" s="46" t="s">
        <v>171</v>
      </c>
      <c r="M27" s="46"/>
      <c r="N27" s="46" t="s">
        <v>101</v>
      </c>
    </row>
    <row r="28" spans="1:14" ht="13.5" thickBot="1">
      <c r="A28" s="45" t="s">
        <v>94</v>
      </c>
      <c r="B28" s="47" t="s">
        <v>281</v>
      </c>
      <c r="C28" s="45" t="s">
        <v>56</v>
      </c>
      <c r="D28" s="45" t="s">
        <v>96</v>
      </c>
      <c r="E28" s="45">
        <v>160</v>
      </c>
      <c r="F28" s="49">
        <v>77</v>
      </c>
      <c r="G28" s="49"/>
      <c r="H28" s="45" t="s">
        <v>41</v>
      </c>
      <c r="I28" s="45" t="s">
        <v>282</v>
      </c>
      <c r="J28" s="45" t="s">
        <v>283</v>
      </c>
      <c r="K28" s="45" t="s">
        <v>41</v>
      </c>
      <c r="L28" s="45">
        <v>100</v>
      </c>
      <c r="M28" s="45"/>
      <c r="N28" s="45" t="s">
        <v>146</v>
      </c>
    </row>
    <row r="29" spans="1:14" ht="13.5" hidden="1" thickBot="1">
      <c r="A29" s="46" t="s">
        <v>94</v>
      </c>
      <c r="B29" s="48" t="s">
        <v>175</v>
      </c>
      <c r="C29" s="46" t="s">
        <v>73</v>
      </c>
      <c r="D29" s="46" t="s">
        <v>96</v>
      </c>
      <c r="E29" s="46">
        <v>200</v>
      </c>
      <c r="F29" s="50" t="s">
        <v>176</v>
      </c>
      <c r="G29" s="31"/>
      <c r="H29" s="46" t="s">
        <v>80</v>
      </c>
      <c r="I29" s="46" t="s">
        <v>136</v>
      </c>
      <c r="J29" s="46" t="s">
        <v>177</v>
      </c>
      <c r="K29" s="46" t="s">
        <v>178</v>
      </c>
      <c r="L29" s="46" t="s">
        <v>179</v>
      </c>
      <c r="M29" s="46"/>
      <c r="N29" s="46" t="s">
        <v>180</v>
      </c>
    </row>
    <row r="30" spans="1:14" ht="12.6" customHeight="1" thickBot="1">
      <c r="A30" s="45" t="s">
        <v>94</v>
      </c>
      <c r="B30" s="47" t="s">
        <v>172</v>
      </c>
      <c r="C30" s="45" t="s">
        <v>56</v>
      </c>
      <c r="D30" s="45" t="s">
        <v>96</v>
      </c>
      <c r="E30" s="45">
        <v>165</v>
      </c>
      <c r="F30" s="51">
        <v>76.66</v>
      </c>
      <c r="G30" s="30"/>
      <c r="H30" s="45" t="s">
        <v>78</v>
      </c>
      <c r="I30" s="45" t="s">
        <v>70</v>
      </c>
      <c r="J30" s="45" t="s">
        <v>173</v>
      </c>
      <c r="K30" s="45" t="s">
        <v>41</v>
      </c>
      <c r="L30" s="45">
        <v>8100</v>
      </c>
      <c r="M30" s="45"/>
      <c r="N30" s="45" t="s">
        <v>101</v>
      </c>
    </row>
    <row r="31" spans="1:14" ht="13.5" hidden="1" thickBot="1">
      <c r="A31" s="46" t="s">
        <v>94</v>
      </c>
      <c r="B31" s="48" t="s">
        <v>188</v>
      </c>
      <c r="C31" s="46" t="s">
        <v>73</v>
      </c>
      <c r="D31" s="46" t="s">
        <v>96</v>
      </c>
      <c r="E31" s="46">
        <v>180</v>
      </c>
      <c r="F31" s="50" t="s">
        <v>189</v>
      </c>
      <c r="G31" s="29"/>
      <c r="H31" s="46" t="s">
        <v>100</v>
      </c>
      <c r="I31" s="46" t="s">
        <v>190</v>
      </c>
      <c r="J31" s="46" t="s">
        <v>191</v>
      </c>
      <c r="K31" s="46" t="s">
        <v>112</v>
      </c>
      <c r="L31" s="46" t="s">
        <v>192</v>
      </c>
      <c r="M31" s="46"/>
      <c r="N31" s="46" t="s">
        <v>101</v>
      </c>
    </row>
    <row r="32" spans="1:14" ht="13.35" customHeight="1" thickBot="1">
      <c r="A32" s="45" t="s">
        <v>94</v>
      </c>
      <c r="B32" s="47" t="s">
        <v>161</v>
      </c>
      <c r="C32" s="45" t="s">
        <v>56</v>
      </c>
      <c r="D32" s="45" t="s">
        <v>96</v>
      </c>
      <c r="E32" s="45">
        <v>170</v>
      </c>
      <c r="F32" s="49">
        <v>70</v>
      </c>
      <c r="G32" s="58"/>
      <c r="H32" s="45" t="s">
        <v>78</v>
      </c>
      <c r="I32" s="45" t="s">
        <v>163</v>
      </c>
      <c r="J32" s="45" t="s">
        <v>162</v>
      </c>
      <c r="K32" s="45" t="s">
        <v>78</v>
      </c>
      <c r="L32" s="45">
        <v>20300</v>
      </c>
      <c r="M32" s="45"/>
      <c r="N32" s="45" t="s">
        <v>164</v>
      </c>
    </row>
    <row r="33" spans="1:14" ht="13.5" hidden="1" thickBot="1">
      <c r="A33" s="46" t="s">
        <v>94</v>
      </c>
      <c r="B33" s="48" t="s">
        <v>199</v>
      </c>
      <c r="C33" s="46" t="s">
        <v>73</v>
      </c>
      <c r="D33" s="46" t="s">
        <v>96</v>
      </c>
      <c r="E33" s="46">
        <v>190</v>
      </c>
      <c r="F33" s="50" t="s">
        <v>200</v>
      </c>
      <c r="G33" s="29"/>
      <c r="H33" s="46" t="s">
        <v>185</v>
      </c>
      <c r="I33" s="46" t="s">
        <v>200</v>
      </c>
      <c r="J33" s="46" t="s">
        <v>201</v>
      </c>
      <c r="K33" s="46" t="s">
        <v>163</v>
      </c>
      <c r="L33" s="46" t="s">
        <v>202</v>
      </c>
      <c r="M33" s="46"/>
      <c r="N33" s="46" t="s">
        <v>198</v>
      </c>
    </row>
    <row r="34" spans="1:14" ht="13.5" hidden="1" thickBot="1">
      <c r="A34" s="45" t="s">
        <v>94</v>
      </c>
      <c r="B34" s="47" t="s">
        <v>203</v>
      </c>
      <c r="C34" s="45" t="s">
        <v>56</v>
      </c>
      <c r="D34" s="45" t="s">
        <v>204</v>
      </c>
      <c r="E34" s="45">
        <v>260</v>
      </c>
      <c r="F34" s="51" t="s">
        <v>205</v>
      </c>
      <c r="G34" s="49"/>
      <c r="H34" s="45" t="s">
        <v>41</v>
      </c>
      <c r="I34" s="45" t="s">
        <v>185</v>
      </c>
      <c r="J34" s="45" t="s">
        <v>71</v>
      </c>
      <c r="K34" s="45" t="s">
        <v>80</v>
      </c>
      <c r="L34" s="45" t="s">
        <v>206</v>
      </c>
      <c r="M34" s="45"/>
      <c r="N34" s="45" t="s">
        <v>207</v>
      </c>
    </row>
    <row r="35" spans="1:14" ht="13.5" hidden="1" thickBot="1">
      <c r="A35" s="46" t="s">
        <v>94</v>
      </c>
      <c r="B35" s="48" t="s">
        <v>208</v>
      </c>
      <c r="C35" s="46" t="s">
        <v>73</v>
      </c>
      <c r="D35" s="46" t="s">
        <v>96</v>
      </c>
      <c r="E35" s="46">
        <v>195</v>
      </c>
      <c r="F35" s="50" t="s">
        <v>209</v>
      </c>
      <c r="G35" s="31"/>
      <c r="H35" s="46" t="s">
        <v>126</v>
      </c>
      <c r="I35" s="46" t="s">
        <v>209</v>
      </c>
      <c r="J35" s="46" t="s">
        <v>210</v>
      </c>
      <c r="K35" s="46" t="s">
        <v>41</v>
      </c>
      <c r="L35" s="46" t="s">
        <v>211</v>
      </c>
      <c r="M35" s="46"/>
      <c r="N35" s="46" t="s">
        <v>212</v>
      </c>
    </row>
    <row r="36" spans="1:14" ht="12.6" customHeight="1">
      <c r="A36" s="45" t="s">
        <v>94</v>
      </c>
      <c r="B36" s="47" t="s">
        <v>263</v>
      </c>
      <c r="C36" s="45" t="s">
        <v>56</v>
      </c>
      <c r="D36" s="45" t="s">
        <v>96</v>
      </c>
      <c r="E36" s="45">
        <v>175</v>
      </c>
      <c r="F36" s="51">
        <v>56</v>
      </c>
      <c r="G36" s="49"/>
      <c r="H36" s="45" t="s">
        <v>264</v>
      </c>
      <c r="I36" s="45" t="s">
        <v>265</v>
      </c>
      <c r="J36" s="45" t="s">
        <v>266</v>
      </c>
      <c r="K36" s="45" t="s">
        <v>41</v>
      </c>
      <c r="L36" s="45">
        <v>200</v>
      </c>
      <c r="M36" s="45"/>
      <c r="N36" s="45" t="s">
        <v>267</v>
      </c>
    </row>
    <row r="37" spans="1:14" ht="13.5" thickBot="1">
      <c r="A37" s="46" t="s">
        <v>94</v>
      </c>
      <c r="B37" s="48" t="s">
        <v>152</v>
      </c>
      <c r="C37" s="46" t="s">
        <v>56</v>
      </c>
      <c r="D37" s="46" t="s">
        <v>96</v>
      </c>
      <c r="E37" s="46">
        <v>180</v>
      </c>
      <c r="F37" s="50">
        <v>58.96</v>
      </c>
      <c r="G37" s="29"/>
      <c r="H37" s="46" t="s">
        <v>153</v>
      </c>
      <c r="I37" s="46" t="s">
        <v>154</v>
      </c>
      <c r="J37" s="46" t="s">
        <v>130</v>
      </c>
      <c r="K37" s="46" t="s">
        <v>155</v>
      </c>
      <c r="L37" s="46">
        <v>30500</v>
      </c>
      <c r="M37" s="46"/>
      <c r="N37" s="46" t="s">
        <v>156</v>
      </c>
    </row>
    <row r="38" spans="1:14" ht="13.35" hidden="1" customHeight="1">
      <c r="A38" s="45" t="s">
        <v>94</v>
      </c>
      <c r="B38" s="47" t="s">
        <v>218</v>
      </c>
      <c r="C38" s="45" t="s">
        <v>73</v>
      </c>
      <c r="D38" s="45" t="s">
        <v>96</v>
      </c>
      <c r="E38" s="45">
        <v>170</v>
      </c>
      <c r="F38" s="51" t="s">
        <v>219</v>
      </c>
      <c r="G38" s="30"/>
      <c r="H38" s="45" t="s">
        <v>68</v>
      </c>
      <c r="I38" s="45" t="s">
        <v>220</v>
      </c>
      <c r="J38" s="45" t="s">
        <v>219</v>
      </c>
      <c r="K38" s="45" t="s">
        <v>109</v>
      </c>
      <c r="L38" s="45" t="s">
        <v>221</v>
      </c>
      <c r="M38" s="45"/>
      <c r="N38" s="45" t="s">
        <v>198</v>
      </c>
    </row>
    <row r="39" spans="1:14" ht="13.5" hidden="1" thickBot="1">
      <c r="A39" s="46" t="s">
        <v>94</v>
      </c>
      <c r="B39" s="48" t="s">
        <v>222</v>
      </c>
      <c r="C39" s="46" t="s">
        <v>73</v>
      </c>
      <c r="D39" s="46" t="s">
        <v>96</v>
      </c>
      <c r="E39" s="46">
        <v>185</v>
      </c>
      <c r="F39" s="50" t="s">
        <v>223</v>
      </c>
      <c r="G39" s="29"/>
      <c r="H39" s="46" t="s">
        <v>41</v>
      </c>
      <c r="I39" s="46" t="s">
        <v>224</v>
      </c>
      <c r="J39" s="46" t="s">
        <v>191</v>
      </c>
      <c r="K39" s="46" t="s">
        <v>105</v>
      </c>
      <c r="L39" s="46" t="s">
        <v>225</v>
      </c>
      <c r="M39" s="46"/>
      <c r="N39" s="46" t="s">
        <v>156</v>
      </c>
    </row>
    <row r="40" spans="1:14" hidden="1">
      <c r="A40" s="45" t="s">
        <v>94</v>
      </c>
      <c r="B40" s="47" t="s">
        <v>226</v>
      </c>
      <c r="C40" s="45" t="s">
        <v>73</v>
      </c>
      <c r="D40" s="45" t="s">
        <v>96</v>
      </c>
      <c r="E40" s="45">
        <v>160</v>
      </c>
      <c r="F40" s="51" t="s">
        <v>227</v>
      </c>
      <c r="G40" s="30"/>
      <c r="H40" s="45" t="s">
        <v>163</v>
      </c>
      <c r="I40" s="45" t="s">
        <v>228</v>
      </c>
      <c r="J40" s="45" t="s">
        <v>227</v>
      </c>
      <c r="K40" s="45" t="s">
        <v>80</v>
      </c>
      <c r="L40" s="45" t="s">
        <v>229</v>
      </c>
      <c r="M40" s="45"/>
      <c r="N40" s="45" t="s">
        <v>230</v>
      </c>
    </row>
    <row r="41" spans="1:14" ht="13.5" thickBot="1">
      <c r="A41" s="46" t="s">
        <v>94</v>
      </c>
      <c r="B41" s="48" t="s">
        <v>213</v>
      </c>
      <c r="C41" s="46" t="s">
        <v>56</v>
      </c>
      <c r="D41" s="46" t="s">
        <v>96</v>
      </c>
      <c r="E41" s="46">
        <v>185</v>
      </c>
      <c r="F41" s="50">
        <v>50</v>
      </c>
      <c r="G41" s="60"/>
      <c r="H41" s="46" t="s">
        <v>78</v>
      </c>
      <c r="I41" s="46" t="s">
        <v>76</v>
      </c>
      <c r="J41" s="46" t="s">
        <v>214</v>
      </c>
      <c r="K41" s="46" t="s">
        <v>41</v>
      </c>
      <c r="L41" s="46">
        <v>3000</v>
      </c>
      <c r="M41" s="46"/>
      <c r="N41" s="46" t="s">
        <v>215</v>
      </c>
    </row>
    <row r="42" spans="1:14" ht="12.6" hidden="1" customHeight="1">
      <c r="A42" s="45" t="s">
        <v>94</v>
      </c>
      <c r="B42" s="47" t="s">
        <v>235</v>
      </c>
      <c r="C42" s="45" t="s">
        <v>56</v>
      </c>
      <c r="D42" s="45" t="s">
        <v>204</v>
      </c>
      <c r="E42" s="45">
        <v>230</v>
      </c>
      <c r="F42" s="49" t="s">
        <v>236</v>
      </c>
      <c r="G42" s="30"/>
      <c r="H42" s="45" t="s">
        <v>105</v>
      </c>
      <c r="I42" s="45" t="s">
        <v>237</v>
      </c>
      <c r="J42" s="45" t="s">
        <v>236</v>
      </c>
      <c r="K42" s="45" t="s">
        <v>174</v>
      </c>
      <c r="L42" s="45" t="s">
        <v>117</v>
      </c>
      <c r="M42" s="45"/>
      <c r="N42" s="45" t="s">
        <v>234</v>
      </c>
    </row>
    <row r="43" spans="1:14" ht="13.5" thickBot="1">
      <c r="A43" s="46" t="s">
        <v>94</v>
      </c>
      <c r="B43" s="48" t="s">
        <v>139</v>
      </c>
      <c r="C43" s="46" t="s">
        <v>56</v>
      </c>
      <c r="D43" s="46" t="s">
        <v>96</v>
      </c>
      <c r="E43" s="46">
        <v>190</v>
      </c>
      <c r="F43" s="57">
        <v>51</v>
      </c>
      <c r="G43" s="60"/>
      <c r="H43" s="46" t="s">
        <v>78</v>
      </c>
      <c r="I43" s="46" t="s">
        <v>140</v>
      </c>
      <c r="J43" s="46" t="s">
        <v>141</v>
      </c>
      <c r="K43" s="46" t="s">
        <v>78</v>
      </c>
      <c r="L43" s="46">
        <v>53700</v>
      </c>
      <c r="M43" s="46"/>
      <c r="N43" s="46" t="s">
        <v>101</v>
      </c>
    </row>
    <row r="44" spans="1:14" ht="12.6" hidden="1" customHeight="1">
      <c r="A44" s="45" t="s">
        <v>94</v>
      </c>
      <c r="B44" s="47" t="s">
        <v>241</v>
      </c>
      <c r="C44" s="45" t="s">
        <v>73</v>
      </c>
      <c r="D44" s="45" t="s">
        <v>96</v>
      </c>
      <c r="E44" s="45">
        <v>145</v>
      </c>
      <c r="F44" s="49" t="s">
        <v>242</v>
      </c>
      <c r="G44" s="30"/>
      <c r="H44" s="45" t="s">
        <v>41</v>
      </c>
      <c r="I44" s="45" t="s">
        <v>57</v>
      </c>
      <c r="J44" s="45" t="s">
        <v>242</v>
      </c>
      <c r="K44" s="45" t="s">
        <v>185</v>
      </c>
      <c r="L44" s="45" t="s">
        <v>243</v>
      </c>
      <c r="M44" s="45"/>
      <c r="N44" s="45" t="s">
        <v>101</v>
      </c>
    </row>
    <row r="45" spans="1:14" ht="13.5" hidden="1" thickBot="1">
      <c r="A45" s="46" t="s">
        <v>94</v>
      </c>
      <c r="B45" s="48" t="s">
        <v>244</v>
      </c>
      <c r="C45" s="46" t="s">
        <v>73</v>
      </c>
      <c r="D45" s="46" t="s">
        <v>96</v>
      </c>
      <c r="E45" s="46">
        <v>84</v>
      </c>
      <c r="F45" s="50" t="s">
        <v>65</v>
      </c>
      <c r="G45" s="29"/>
      <c r="H45" s="46" t="s">
        <v>245</v>
      </c>
      <c r="I45" s="46" t="s">
        <v>65</v>
      </c>
      <c r="J45" s="46" t="s">
        <v>82</v>
      </c>
      <c r="K45" s="46" t="s">
        <v>246</v>
      </c>
      <c r="L45" s="46" t="s">
        <v>247</v>
      </c>
      <c r="M45" s="46"/>
      <c r="N45" s="46" t="s">
        <v>101</v>
      </c>
    </row>
    <row r="46" spans="1:14" ht="12.6" hidden="1" customHeight="1">
      <c r="A46" s="45" t="s">
        <v>94</v>
      </c>
      <c r="B46" s="47" t="s">
        <v>248</v>
      </c>
      <c r="C46" s="45" t="s">
        <v>73</v>
      </c>
      <c r="D46" s="45" t="s">
        <v>96</v>
      </c>
      <c r="E46" s="45">
        <v>155</v>
      </c>
      <c r="F46" s="49" t="s">
        <v>249</v>
      </c>
      <c r="G46" s="30"/>
      <c r="H46" s="45" t="s">
        <v>70</v>
      </c>
      <c r="I46" s="45" t="s">
        <v>249</v>
      </c>
      <c r="J46" s="45" t="s">
        <v>79</v>
      </c>
      <c r="K46" s="45" t="s">
        <v>158</v>
      </c>
      <c r="L46" s="45" t="s">
        <v>250</v>
      </c>
      <c r="M46" s="45"/>
      <c r="N46" s="45" t="s">
        <v>251</v>
      </c>
    </row>
    <row r="47" spans="1:14" ht="13.5" hidden="1" thickBot="1">
      <c r="A47" s="46" t="s">
        <v>94</v>
      </c>
      <c r="B47" s="48" t="s">
        <v>252</v>
      </c>
      <c r="C47" s="46" t="s">
        <v>73</v>
      </c>
      <c r="D47" s="46" t="s">
        <v>96</v>
      </c>
      <c r="E47" s="46">
        <v>165</v>
      </c>
      <c r="F47" s="50" t="s">
        <v>253</v>
      </c>
      <c r="G47" s="29"/>
      <c r="H47" s="46" t="s">
        <v>254</v>
      </c>
      <c r="I47" s="46" t="s">
        <v>255</v>
      </c>
      <c r="J47" s="46" t="s">
        <v>239</v>
      </c>
      <c r="K47" s="46" t="s">
        <v>41</v>
      </c>
      <c r="L47" s="46" t="s">
        <v>256</v>
      </c>
      <c r="M47" s="46"/>
      <c r="N47" s="46" t="s">
        <v>212</v>
      </c>
    </row>
    <row r="48" spans="1:14" hidden="1">
      <c r="A48" s="45" t="s">
        <v>94</v>
      </c>
      <c r="B48" s="47" t="s">
        <v>257</v>
      </c>
      <c r="C48" s="45" t="s">
        <v>56</v>
      </c>
      <c r="D48" s="45" t="s">
        <v>204</v>
      </c>
      <c r="E48" s="45">
        <v>250</v>
      </c>
      <c r="F48" s="51" t="s">
        <v>258</v>
      </c>
      <c r="G48" s="49"/>
      <c r="H48" s="45" t="s">
        <v>98</v>
      </c>
      <c r="I48" s="45" t="s">
        <v>259</v>
      </c>
      <c r="J48" s="45" t="s">
        <v>258</v>
      </c>
      <c r="K48" s="45" t="s">
        <v>112</v>
      </c>
      <c r="L48" s="45" t="s">
        <v>98</v>
      </c>
      <c r="M48" s="45"/>
      <c r="N48" s="45" t="s">
        <v>207</v>
      </c>
    </row>
    <row r="49" spans="1:16" ht="13.5" thickBot="1">
      <c r="A49" s="46" t="s">
        <v>94</v>
      </c>
      <c r="B49" s="48" t="s">
        <v>181</v>
      </c>
      <c r="C49" s="46" t="s">
        <v>56</v>
      </c>
      <c r="D49" s="46" t="s">
        <v>96</v>
      </c>
      <c r="E49" s="46">
        <v>195</v>
      </c>
      <c r="F49" s="50">
        <v>46</v>
      </c>
      <c r="G49" s="60"/>
      <c r="H49" s="46" t="s">
        <v>41</v>
      </c>
      <c r="I49" s="46" t="s">
        <v>183</v>
      </c>
      <c r="J49" s="46" t="s">
        <v>184</v>
      </c>
      <c r="K49" s="46" t="s">
        <v>185</v>
      </c>
      <c r="L49" s="46">
        <v>14700</v>
      </c>
      <c r="M49" s="46"/>
      <c r="N49" s="46" t="s">
        <v>187</v>
      </c>
    </row>
    <row r="50" spans="1:16" ht="13.5" thickBot="1">
      <c r="A50" s="45" t="s">
        <v>94</v>
      </c>
      <c r="B50" s="47" t="s">
        <v>121</v>
      </c>
      <c r="C50" s="45" t="s">
        <v>56</v>
      </c>
      <c r="D50" s="45" t="s">
        <v>96</v>
      </c>
      <c r="E50" s="45">
        <v>200</v>
      </c>
      <c r="F50" s="51">
        <v>42.5</v>
      </c>
      <c r="G50" s="30"/>
      <c r="H50" s="45" t="s">
        <v>123</v>
      </c>
      <c r="I50" s="45" t="s">
        <v>124</v>
      </c>
      <c r="J50" s="45" t="s">
        <v>122</v>
      </c>
      <c r="K50" s="45" t="s">
        <v>112</v>
      </c>
      <c r="L50" s="45">
        <v>1684</v>
      </c>
      <c r="M50" s="45"/>
      <c r="N50" s="45" t="s">
        <v>101</v>
      </c>
    </row>
    <row r="51" spans="1:16" ht="13.5" hidden="1" thickBot="1">
      <c r="A51" s="46" t="s">
        <v>94</v>
      </c>
      <c r="B51" s="48" t="s">
        <v>268</v>
      </c>
      <c r="C51" s="46" t="s">
        <v>73</v>
      </c>
      <c r="D51" s="46" t="s">
        <v>96</v>
      </c>
      <c r="E51" s="46">
        <v>175</v>
      </c>
      <c r="F51" s="50" t="s">
        <v>269</v>
      </c>
      <c r="G51" s="29"/>
      <c r="H51" s="46" t="s">
        <v>163</v>
      </c>
      <c r="I51" s="46" t="s">
        <v>78</v>
      </c>
      <c r="J51" s="46" t="s">
        <v>269</v>
      </c>
      <c r="K51" s="46" t="s">
        <v>100</v>
      </c>
      <c r="L51" s="46" t="s">
        <v>270</v>
      </c>
      <c r="M51" s="46"/>
      <c r="N51" s="46" t="s">
        <v>156</v>
      </c>
    </row>
    <row r="52" spans="1:16" ht="13.5" hidden="1" thickBot="1">
      <c r="A52" s="45" t="s">
        <v>94</v>
      </c>
      <c r="B52" s="47" t="s">
        <v>271</v>
      </c>
      <c r="C52" s="45" t="s">
        <v>73</v>
      </c>
      <c r="D52" s="45" t="s">
        <v>204</v>
      </c>
      <c r="E52" s="45">
        <v>180</v>
      </c>
      <c r="F52" s="51" t="s">
        <v>78</v>
      </c>
      <c r="G52" s="49"/>
      <c r="H52" s="45" t="s">
        <v>98</v>
      </c>
      <c r="I52" s="45" t="s">
        <v>78</v>
      </c>
      <c r="J52" s="45" t="s">
        <v>272</v>
      </c>
      <c r="K52" s="45" t="s">
        <v>126</v>
      </c>
      <c r="L52" s="45" t="s">
        <v>273</v>
      </c>
      <c r="M52" s="45"/>
      <c r="N52" s="45" t="s">
        <v>274</v>
      </c>
    </row>
    <row r="53" spans="1:16" ht="13.5" hidden="1" thickBot="1">
      <c r="A53" s="46" t="s">
        <v>94</v>
      </c>
      <c r="B53" s="48" t="s">
        <v>275</v>
      </c>
      <c r="C53" s="46" t="s">
        <v>73</v>
      </c>
      <c r="D53" s="46" t="s">
        <v>96</v>
      </c>
      <c r="E53" s="46">
        <v>150</v>
      </c>
      <c r="F53" s="50" t="s">
        <v>276</v>
      </c>
      <c r="G53" s="31"/>
      <c r="H53" s="46" t="s">
        <v>277</v>
      </c>
      <c r="I53" s="46" t="s">
        <v>278</v>
      </c>
      <c r="J53" s="46" t="s">
        <v>279</v>
      </c>
      <c r="K53" s="46" t="s">
        <v>160</v>
      </c>
      <c r="L53" s="46" t="s">
        <v>280</v>
      </c>
      <c r="M53" s="46"/>
      <c r="N53" s="46" t="s">
        <v>212</v>
      </c>
    </row>
    <row r="54" spans="1:16" ht="12.6" customHeight="1">
      <c r="A54" s="45" t="s">
        <v>94</v>
      </c>
      <c r="B54" s="47" t="s">
        <v>118</v>
      </c>
      <c r="C54" s="45" t="s">
        <v>56</v>
      </c>
      <c r="D54" s="45" t="s">
        <v>96</v>
      </c>
      <c r="E54" s="45">
        <v>210</v>
      </c>
      <c r="F54" s="49">
        <v>34.9</v>
      </c>
      <c r="G54" s="59"/>
      <c r="H54" s="45" t="s">
        <v>78</v>
      </c>
      <c r="I54" s="45" t="s">
        <v>120</v>
      </c>
      <c r="J54" s="45" t="s">
        <v>119</v>
      </c>
      <c r="K54" s="45" t="s">
        <v>80</v>
      </c>
      <c r="L54" s="45">
        <v>3222</v>
      </c>
      <c r="M54" s="45"/>
      <c r="N54" s="45" t="s">
        <v>101</v>
      </c>
    </row>
    <row r="55" spans="1:16" ht="13.5" hidden="1" thickBot="1">
      <c r="A55" s="46" t="s">
        <v>94</v>
      </c>
      <c r="B55" s="48" t="s">
        <v>284</v>
      </c>
      <c r="C55" s="46" t="s">
        <v>73</v>
      </c>
      <c r="D55" s="46" t="s">
        <v>204</v>
      </c>
      <c r="E55" s="46">
        <v>210</v>
      </c>
      <c r="F55" s="50" t="s">
        <v>126</v>
      </c>
      <c r="G55" s="29"/>
      <c r="H55" s="46" t="s">
        <v>155</v>
      </c>
      <c r="I55" s="46" t="s">
        <v>126</v>
      </c>
      <c r="J55" s="46" t="s">
        <v>285</v>
      </c>
      <c r="K55" s="46" t="s">
        <v>98</v>
      </c>
      <c r="L55" s="46" t="s">
        <v>41</v>
      </c>
      <c r="M55" s="46"/>
      <c r="N55" s="46" t="s">
        <v>286</v>
      </c>
    </row>
    <row r="56" spans="1:16" ht="12.6" hidden="1" customHeight="1">
      <c r="A56" s="45" t="s">
        <v>94</v>
      </c>
      <c r="B56" s="47" t="s">
        <v>287</v>
      </c>
      <c r="C56" s="45" t="s">
        <v>73</v>
      </c>
      <c r="D56" s="45" t="s">
        <v>204</v>
      </c>
      <c r="E56" s="45">
        <v>200</v>
      </c>
      <c r="F56" s="49" t="s">
        <v>98</v>
      </c>
      <c r="G56" s="30"/>
      <c r="H56" s="45" t="s">
        <v>78</v>
      </c>
      <c r="I56" s="45" t="s">
        <v>98</v>
      </c>
      <c r="J56" s="45" t="s">
        <v>288</v>
      </c>
      <c r="K56" s="45" t="s">
        <v>78</v>
      </c>
      <c r="L56" s="45" t="s">
        <v>41</v>
      </c>
      <c r="M56" s="45"/>
      <c r="N56" s="45" t="s">
        <v>274</v>
      </c>
    </row>
    <row r="57" spans="1:16" ht="13.5" hidden="1" thickBot="1">
      <c r="A57" s="46" t="s">
        <v>94</v>
      </c>
      <c r="B57" s="48" t="s">
        <v>289</v>
      </c>
      <c r="C57" s="46" t="s">
        <v>56</v>
      </c>
      <c r="D57" s="46" t="s">
        <v>290</v>
      </c>
      <c r="E57" s="46">
        <v>230</v>
      </c>
      <c r="F57" s="50" t="s">
        <v>291</v>
      </c>
      <c r="G57" s="31"/>
      <c r="H57" s="46" t="s">
        <v>126</v>
      </c>
      <c r="I57" s="46" t="s">
        <v>292</v>
      </c>
      <c r="J57" s="46" t="s">
        <v>155</v>
      </c>
      <c r="K57" s="46" t="s">
        <v>293</v>
      </c>
      <c r="L57" s="46" t="s">
        <v>112</v>
      </c>
      <c r="M57" s="46"/>
      <c r="N57" s="46" t="s">
        <v>187</v>
      </c>
    </row>
    <row r="58" spans="1:16" ht="12.6" hidden="1" customHeight="1">
      <c r="A58" s="45" t="s">
        <v>94</v>
      </c>
      <c r="B58" s="47" t="s">
        <v>294</v>
      </c>
      <c r="C58" s="45" t="s">
        <v>73</v>
      </c>
      <c r="D58" s="45" t="s">
        <v>96</v>
      </c>
      <c r="E58" s="45">
        <v>135</v>
      </c>
      <c r="F58" s="49" t="s">
        <v>81</v>
      </c>
      <c r="G58" s="49"/>
      <c r="H58" s="45" t="s">
        <v>295</v>
      </c>
      <c r="I58" s="45" t="s">
        <v>296</v>
      </c>
      <c r="J58" s="45" t="s">
        <v>297</v>
      </c>
      <c r="K58" s="45" t="s">
        <v>68</v>
      </c>
      <c r="L58" s="45" t="s">
        <v>298</v>
      </c>
      <c r="M58" s="45"/>
      <c r="N58" s="45" t="s">
        <v>299</v>
      </c>
    </row>
    <row r="59" spans="1:16" ht="13.5" hidden="1" thickBot="1">
      <c r="A59" s="46" t="s">
        <v>94</v>
      </c>
      <c r="B59" s="48" t="s">
        <v>300</v>
      </c>
      <c r="C59" s="46" t="s">
        <v>73</v>
      </c>
      <c r="D59" s="46" t="s">
        <v>96</v>
      </c>
      <c r="E59" s="46">
        <v>132</v>
      </c>
      <c r="F59" s="50" t="s">
        <v>82</v>
      </c>
      <c r="G59" s="29"/>
      <c r="H59" s="46" t="s">
        <v>117</v>
      </c>
      <c r="I59" s="46" t="s">
        <v>82</v>
      </c>
      <c r="J59" s="46" t="s">
        <v>62</v>
      </c>
      <c r="K59" s="46" t="s">
        <v>184</v>
      </c>
      <c r="L59" s="46" t="s">
        <v>301</v>
      </c>
      <c r="M59" s="46"/>
      <c r="N59" s="46" t="s">
        <v>302</v>
      </c>
    </row>
    <row r="60" spans="1:16" ht="13.35" hidden="1" customHeight="1">
      <c r="A60" s="45" t="s">
        <v>94</v>
      </c>
      <c r="B60" s="47" t="s">
        <v>303</v>
      </c>
      <c r="C60" s="45" t="s">
        <v>73</v>
      </c>
      <c r="D60" s="45" t="s">
        <v>96</v>
      </c>
      <c r="E60" s="45">
        <v>111</v>
      </c>
      <c r="F60" s="51" t="s">
        <v>65</v>
      </c>
      <c r="G60" s="49"/>
      <c r="H60" s="45" t="s">
        <v>98</v>
      </c>
      <c r="I60" s="45" t="s">
        <v>65</v>
      </c>
      <c r="J60" s="45" t="s">
        <v>64</v>
      </c>
      <c r="K60" s="45" t="s">
        <v>304</v>
      </c>
      <c r="L60" s="45" t="s">
        <v>305</v>
      </c>
      <c r="M60" s="45"/>
      <c r="N60" s="45" t="s">
        <v>101</v>
      </c>
      <c r="P60" s="43"/>
    </row>
    <row r="61" spans="1:16" ht="13.5" hidden="1" thickBot="1">
      <c r="A61" s="46" t="s">
        <v>94</v>
      </c>
      <c r="B61" s="48" t="s">
        <v>306</v>
      </c>
      <c r="C61" s="46" t="s">
        <v>73</v>
      </c>
      <c r="D61" s="46" t="s">
        <v>96</v>
      </c>
      <c r="E61" s="46">
        <v>102</v>
      </c>
      <c r="F61" s="50" t="s">
        <v>66</v>
      </c>
      <c r="G61" s="29"/>
      <c r="H61" s="46" t="s">
        <v>77</v>
      </c>
      <c r="I61" s="46" t="s">
        <v>65</v>
      </c>
      <c r="J61" s="46" t="s">
        <v>82</v>
      </c>
      <c r="K61" s="46" t="s">
        <v>77</v>
      </c>
      <c r="L61" s="46" t="s">
        <v>307</v>
      </c>
      <c r="M61" s="46"/>
      <c r="N61" s="46" t="s">
        <v>308</v>
      </c>
    </row>
    <row r="62" spans="1:16" ht="13.35" hidden="1" customHeight="1">
      <c r="A62" s="45" t="s">
        <v>94</v>
      </c>
      <c r="B62" s="47" t="s">
        <v>309</v>
      </c>
      <c r="C62" s="45" t="s">
        <v>73</v>
      </c>
      <c r="D62" s="45" t="s">
        <v>96</v>
      </c>
      <c r="E62" s="45">
        <v>129</v>
      </c>
      <c r="F62" s="51" t="s">
        <v>82</v>
      </c>
      <c r="G62" s="49"/>
      <c r="H62" s="45" t="s">
        <v>98</v>
      </c>
      <c r="I62" s="45" t="s">
        <v>67</v>
      </c>
      <c r="J62" s="45" t="s">
        <v>59</v>
      </c>
      <c r="K62" s="45" t="s">
        <v>178</v>
      </c>
      <c r="L62" s="45" t="s">
        <v>98</v>
      </c>
      <c r="M62" s="45"/>
      <c r="N62" s="45" t="s">
        <v>310</v>
      </c>
      <c r="P62" s="43"/>
    </row>
    <row r="63" spans="1:16" ht="13.5" hidden="1" thickBot="1">
      <c r="A63" s="46" t="s">
        <v>94</v>
      </c>
      <c r="B63" s="48" t="s">
        <v>311</v>
      </c>
      <c r="C63" s="46" t="s">
        <v>73</v>
      </c>
      <c r="D63" s="46" t="s">
        <v>96</v>
      </c>
      <c r="E63" s="46">
        <v>140</v>
      </c>
      <c r="F63" s="50" t="s">
        <v>72</v>
      </c>
      <c r="G63" s="29"/>
      <c r="H63" s="46" t="s">
        <v>183</v>
      </c>
      <c r="I63" s="46" t="s">
        <v>72</v>
      </c>
      <c r="J63" s="46" t="s">
        <v>312</v>
      </c>
      <c r="K63" s="46" t="s">
        <v>41</v>
      </c>
      <c r="L63" s="46" t="s">
        <v>78</v>
      </c>
      <c r="M63" s="46"/>
      <c r="N63" s="46" t="s">
        <v>168</v>
      </c>
    </row>
    <row r="64" spans="1:16" hidden="1">
      <c r="A64" s="45" t="s">
        <v>94</v>
      </c>
      <c r="B64" s="47" t="s">
        <v>313</v>
      </c>
      <c r="C64" s="45" t="s">
        <v>56</v>
      </c>
      <c r="D64" s="45" t="s">
        <v>290</v>
      </c>
      <c r="E64" s="45">
        <v>220</v>
      </c>
      <c r="F64" s="51" t="s">
        <v>69</v>
      </c>
      <c r="G64" s="49"/>
      <c r="H64" s="45" t="s">
        <v>112</v>
      </c>
      <c r="I64" s="45" t="s">
        <v>314</v>
      </c>
      <c r="J64" s="45" t="s">
        <v>69</v>
      </c>
      <c r="K64" s="45" t="s">
        <v>307</v>
      </c>
      <c r="L64" s="45" t="s">
        <v>41</v>
      </c>
      <c r="M64" s="45"/>
      <c r="N64" s="45" t="s">
        <v>315</v>
      </c>
    </row>
    <row r="65" spans="1:14" ht="13.5" thickBot="1">
      <c r="A65" s="46" t="s">
        <v>94</v>
      </c>
      <c r="B65" s="48" t="s">
        <v>111</v>
      </c>
      <c r="C65" s="46" t="s">
        <v>56</v>
      </c>
      <c r="D65" s="46" t="s">
        <v>96</v>
      </c>
      <c r="E65" s="46">
        <v>220</v>
      </c>
      <c r="F65" s="50">
        <v>27.1</v>
      </c>
      <c r="G65" s="29"/>
      <c r="H65" s="46" t="s">
        <v>112</v>
      </c>
      <c r="I65" s="46" t="s">
        <v>41</v>
      </c>
      <c r="J65" s="46" t="s">
        <v>113</v>
      </c>
      <c r="K65" s="46" t="s">
        <v>78</v>
      </c>
      <c r="L65" s="46">
        <v>5479</v>
      </c>
      <c r="M65" s="46"/>
      <c r="N65" s="46" t="s">
        <v>101</v>
      </c>
    </row>
    <row r="66" spans="1:14" ht="12.6" customHeight="1">
      <c r="A66" s="45" t="s">
        <v>94</v>
      </c>
      <c r="B66" s="47" t="s">
        <v>102</v>
      </c>
      <c r="C66" s="45" t="s">
        <v>56</v>
      </c>
      <c r="D66" s="45" t="s">
        <v>96</v>
      </c>
      <c r="E66" s="45">
        <v>230</v>
      </c>
      <c r="F66" s="49">
        <v>22</v>
      </c>
      <c r="G66" s="59"/>
      <c r="H66" s="45" t="s">
        <v>40</v>
      </c>
      <c r="I66" s="45" t="s">
        <v>103</v>
      </c>
      <c r="J66" s="45" t="s">
        <v>104</v>
      </c>
      <c r="K66" s="45" t="s">
        <v>105</v>
      </c>
      <c r="L66" s="45">
        <v>10023</v>
      </c>
      <c r="M66" s="45"/>
      <c r="N66" s="45" t="s">
        <v>101</v>
      </c>
    </row>
    <row r="67" spans="1:14" ht="13.5" thickBot="1">
      <c r="A67" s="46" t="s">
        <v>94</v>
      </c>
      <c r="B67" s="48" t="s">
        <v>106</v>
      </c>
      <c r="C67" s="46" t="s">
        <v>56</v>
      </c>
      <c r="D67" s="46" t="s">
        <v>96</v>
      </c>
      <c r="E67" s="46">
        <v>240</v>
      </c>
      <c r="F67" s="50">
        <v>16.8</v>
      </c>
      <c r="G67" s="60"/>
      <c r="H67" s="46" t="s">
        <v>108</v>
      </c>
      <c r="I67" s="46" t="s">
        <v>107</v>
      </c>
      <c r="J67" s="46" t="s">
        <v>109</v>
      </c>
      <c r="K67" s="46" t="s">
        <v>110</v>
      </c>
      <c r="L67" s="46">
        <v>9792</v>
      </c>
      <c r="M67" s="46"/>
      <c r="N67" s="46" t="s">
        <v>101</v>
      </c>
    </row>
    <row r="68" spans="1:14">
      <c r="A68" s="45" t="s">
        <v>94</v>
      </c>
      <c r="B68" s="47" t="s">
        <v>95</v>
      </c>
      <c r="C68" s="45" t="s">
        <v>56</v>
      </c>
      <c r="D68" s="45" t="s">
        <v>96</v>
      </c>
      <c r="E68" s="45">
        <v>250</v>
      </c>
      <c r="F68" s="49">
        <v>12.8</v>
      </c>
      <c r="G68" s="30"/>
      <c r="H68" s="45" t="s">
        <v>98</v>
      </c>
      <c r="I68" s="45" t="s">
        <v>99</v>
      </c>
      <c r="J68" s="45" t="s">
        <v>97</v>
      </c>
      <c r="K68" s="45" t="s">
        <v>100</v>
      </c>
      <c r="L68" s="45">
        <v>24078</v>
      </c>
      <c r="M68" s="45"/>
      <c r="N68" s="45" t="s">
        <v>101</v>
      </c>
    </row>
    <row r="69" spans="1:14" ht="13.5" thickBot="1">
      <c r="A69" s="46" t="s">
        <v>94</v>
      </c>
      <c r="B69" s="48" t="s">
        <v>114</v>
      </c>
      <c r="C69" s="46" t="s">
        <v>56</v>
      </c>
      <c r="D69" s="46" t="s">
        <v>96</v>
      </c>
      <c r="E69" s="46">
        <v>260</v>
      </c>
      <c r="F69" s="50">
        <v>9.5</v>
      </c>
      <c r="G69" s="60"/>
      <c r="H69" s="46" t="s">
        <v>68</v>
      </c>
      <c r="I69" s="46" t="s">
        <v>115</v>
      </c>
      <c r="J69" s="46" t="s">
        <v>116</v>
      </c>
      <c r="K69" s="46" t="s">
        <v>117</v>
      </c>
      <c r="L69" s="46">
        <v>14459</v>
      </c>
      <c r="M69" s="46"/>
      <c r="N69" s="46" t="s">
        <v>101</v>
      </c>
    </row>
    <row r="70" spans="1:14" ht="13.35" customHeight="1">
      <c r="A70" s="45" t="s">
        <v>94</v>
      </c>
      <c r="B70" s="47" t="s">
        <v>125</v>
      </c>
      <c r="C70" s="45" t="s">
        <v>56</v>
      </c>
      <c r="D70" s="45" t="s">
        <v>96</v>
      </c>
      <c r="E70" s="45">
        <v>270</v>
      </c>
      <c r="F70" s="49">
        <v>7</v>
      </c>
      <c r="G70" s="58"/>
      <c r="H70" s="45" t="s">
        <v>127</v>
      </c>
      <c r="I70" s="45" t="s">
        <v>126</v>
      </c>
      <c r="J70" s="45" t="s">
        <v>128</v>
      </c>
      <c r="K70" s="45" t="s">
        <v>98</v>
      </c>
      <c r="L70" s="45">
        <v>6816</v>
      </c>
      <c r="M70" s="45"/>
      <c r="N70" s="45" t="s">
        <v>101</v>
      </c>
    </row>
    <row r="71" spans="1:14" ht="13.5" thickBot="1">
      <c r="A71" s="46" t="s">
        <v>94</v>
      </c>
      <c r="B71" s="48" t="s">
        <v>129</v>
      </c>
      <c r="C71" s="46" t="s">
        <v>56</v>
      </c>
      <c r="D71" s="46" t="s">
        <v>96</v>
      </c>
      <c r="E71" s="46">
        <v>280</v>
      </c>
      <c r="F71" s="57">
        <v>5.1100000000000003</v>
      </c>
      <c r="G71" s="60"/>
      <c r="H71" s="46" t="s">
        <v>130</v>
      </c>
      <c r="I71" s="46" t="s">
        <v>131</v>
      </c>
      <c r="J71" s="46" t="s">
        <v>132</v>
      </c>
      <c r="K71" s="46" t="s">
        <v>127</v>
      </c>
      <c r="L71" s="46">
        <v>6205</v>
      </c>
      <c r="M71" s="46"/>
      <c r="N71" s="46" t="s">
        <v>101</v>
      </c>
    </row>
    <row r="72" spans="1:14">
      <c r="A72" s="45" t="s">
        <v>94</v>
      </c>
      <c r="B72" s="47" t="s">
        <v>193</v>
      </c>
      <c r="C72" s="45" t="s">
        <v>56</v>
      </c>
      <c r="D72" s="45" t="s">
        <v>96</v>
      </c>
      <c r="E72" s="45">
        <v>290</v>
      </c>
      <c r="F72" s="51">
        <v>3.8</v>
      </c>
      <c r="G72" s="30"/>
      <c r="H72" s="45" t="s">
        <v>195</v>
      </c>
      <c r="I72" s="45" t="s">
        <v>196</v>
      </c>
      <c r="J72" s="45" t="s">
        <v>197</v>
      </c>
      <c r="K72" s="45" t="s">
        <v>41</v>
      </c>
      <c r="L72" s="45">
        <v>1552</v>
      </c>
      <c r="M72" s="45"/>
      <c r="N72" s="45" t="s">
        <v>198</v>
      </c>
    </row>
    <row r="73" spans="1:14" ht="13.5" thickBot="1">
      <c r="A73" s="46" t="s">
        <v>94</v>
      </c>
      <c r="B73" s="48" t="s">
        <v>157</v>
      </c>
      <c r="C73" s="46" t="s">
        <v>56</v>
      </c>
      <c r="D73" s="46" t="s">
        <v>96</v>
      </c>
      <c r="E73" s="46">
        <v>300</v>
      </c>
      <c r="F73" s="50">
        <v>2.83</v>
      </c>
      <c r="G73" s="60"/>
      <c r="H73" s="46" t="s">
        <v>158</v>
      </c>
      <c r="I73" s="46" t="s">
        <v>159</v>
      </c>
      <c r="J73" s="46" t="s">
        <v>112</v>
      </c>
      <c r="K73" s="46" t="s">
        <v>160</v>
      </c>
      <c r="L73" s="46">
        <v>5541</v>
      </c>
      <c r="M73" s="46"/>
      <c r="N73" s="46" t="s">
        <v>101</v>
      </c>
    </row>
    <row r="74" spans="1:14" ht="12.6" customHeight="1">
      <c r="A74" s="45" t="s">
        <v>94</v>
      </c>
      <c r="B74" s="47" t="s">
        <v>216</v>
      </c>
      <c r="C74" s="45" t="s">
        <v>56</v>
      </c>
      <c r="D74" s="45" t="s">
        <v>96</v>
      </c>
      <c r="E74" s="45">
        <v>310</v>
      </c>
      <c r="F74" s="49">
        <v>2</v>
      </c>
      <c r="G74" s="58"/>
      <c r="H74" s="45" t="s">
        <v>41</v>
      </c>
      <c r="I74" s="45" t="s">
        <v>217</v>
      </c>
      <c r="J74" s="45" t="s">
        <v>80</v>
      </c>
      <c r="K74" s="45" t="s">
        <v>158</v>
      </c>
      <c r="L74" s="45">
        <v>64500</v>
      </c>
      <c r="M74" s="45"/>
      <c r="N74" s="45" t="s">
        <v>101</v>
      </c>
    </row>
    <row r="75" spans="1:14" ht="13.5" thickBot="1">
      <c r="A75" s="46" t="s">
        <v>94</v>
      </c>
      <c r="B75" s="48" t="s">
        <v>260</v>
      </c>
      <c r="C75" s="46" t="s">
        <v>56</v>
      </c>
      <c r="D75" s="46" t="s">
        <v>96</v>
      </c>
      <c r="E75" s="46">
        <v>320</v>
      </c>
      <c r="F75" s="50">
        <v>1.49</v>
      </c>
      <c r="G75" s="29"/>
      <c r="H75" s="46" t="s">
        <v>41</v>
      </c>
      <c r="I75" s="46" t="s">
        <v>261</v>
      </c>
      <c r="J75" s="46" t="s">
        <v>262</v>
      </c>
      <c r="K75" s="46" t="s">
        <v>105</v>
      </c>
      <c r="L75" s="46">
        <v>7600</v>
      </c>
      <c r="M75" s="46"/>
      <c r="N75" s="46" t="s">
        <v>212</v>
      </c>
    </row>
    <row r="76" spans="1:14">
      <c r="A76" s="45" t="s">
        <v>94</v>
      </c>
      <c r="B76" s="47" t="s">
        <v>238</v>
      </c>
      <c r="C76" s="45" t="s">
        <v>56</v>
      </c>
      <c r="D76" s="45" t="s">
        <v>96</v>
      </c>
      <c r="E76" s="45">
        <v>330</v>
      </c>
      <c r="F76" s="49">
        <v>1.25</v>
      </c>
      <c r="G76" s="59"/>
      <c r="H76" s="45" t="s">
        <v>41</v>
      </c>
      <c r="I76" s="45" t="s">
        <v>78</v>
      </c>
      <c r="J76" s="45" t="s">
        <v>239</v>
      </c>
      <c r="K76" s="45" t="s">
        <v>240</v>
      </c>
      <c r="L76" s="45">
        <v>48000</v>
      </c>
      <c r="M76" s="45"/>
      <c r="N76" s="45" t="s">
        <v>230</v>
      </c>
    </row>
    <row r="77" spans="1:14" ht="13.5" hidden="1" thickBot="1">
      <c r="A77" s="46" t="s">
        <v>94</v>
      </c>
      <c r="B77" s="48" t="s">
        <v>356</v>
      </c>
      <c r="C77" s="46" t="s">
        <v>56</v>
      </c>
      <c r="D77" s="46" t="s">
        <v>204</v>
      </c>
      <c r="E77" s="46">
        <v>210</v>
      </c>
      <c r="F77" s="50" t="s">
        <v>357</v>
      </c>
      <c r="G77" s="31"/>
      <c r="H77" s="46" t="s">
        <v>158</v>
      </c>
      <c r="I77" s="46" t="s">
        <v>358</v>
      </c>
      <c r="J77" s="46" t="s">
        <v>359</v>
      </c>
      <c r="K77" s="46" t="s">
        <v>41</v>
      </c>
      <c r="L77" s="46" t="s">
        <v>41</v>
      </c>
      <c r="M77" s="46"/>
      <c r="N77" s="53" t="s">
        <v>360</v>
      </c>
    </row>
    <row r="78" spans="1:14" ht="13.35" hidden="1" customHeight="1">
      <c r="A78" s="45" t="s">
        <v>94</v>
      </c>
      <c r="B78" s="47" t="s">
        <v>361</v>
      </c>
      <c r="C78" s="45" t="s">
        <v>73</v>
      </c>
      <c r="D78" s="45" t="s">
        <v>204</v>
      </c>
      <c r="E78" s="45">
        <v>195</v>
      </c>
      <c r="F78" s="51" t="s">
        <v>362</v>
      </c>
      <c r="G78" s="30"/>
      <c r="H78" s="45" t="s">
        <v>68</v>
      </c>
      <c r="I78" s="45" t="s">
        <v>363</v>
      </c>
      <c r="J78" s="45" t="s">
        <v>364</v>
      </c>
      <c r="K78" s="45" t="s">
        <v>365</v>
      </c>
      <c r="L78" s="45" t="s">
        <v>126</v>
      </c>
      <c r="M78" s="45"/>
      <c r="N78" s="52" t="s">
        <v>366</v>
      </c>
    </row>
    <row r="79" spans="1:14" ht="13.5" hidden="1" thickBot="1">
      <c r="A79" s="46" t="s">
        <v>94</v>
      </c>
      <c r="B79" s="48" t="s">
        <v>367</v>
      </c>
      <c r="C79" s="46" t="s">
        <v>56</v>
      </c>
      <c r="D79" s="46" t="s">
        <v>204</v>
      </c>
      <c r="E79" s="46">
        <v>175</v>
      </c>
      <c r="F79" s="50" t="s">
        <v>368</v>
      </c>
      <c r="G79" s="31"/>
      <c r="H79" s="46" t="s">
        <v>112</v>
      </c>
      <c r="I79" s="46" t="s">
        <v>369</v>
      </c>
      <c r="J79" s="46" t="s">
        <v>370</v>
      </c>
      <c r="K79" s="46" t="s">
        <v>112</v>
      </c>
      <c r="L79" s="46" t="s">
        <v>112</v>
      </c>
      <c r="M79" s="46"/>
      <c r="N79" s="53" t="s">
        <v>371</v>
      </c>
    </row>
    <row r="80" spans="1:14" ht="12.6" hidden="1" customHeight="1">
      <c r="A80" s="45" t="s">
        <v>94</v>
      </c>
      <c r="B80" s="47" t="s">
        <v>372</v>
      </c>
      <c r="C80" s="45" t="s">
        <v>56</v>
      </c>
      <c r="D80" s="45" t="s">
        <v>290</v>
      </c>
      <c r="E80" s="45">
        <v>200</v>
      </c>
      <c r="F80" s="49" t="s">
        <v>373</v>
      </c>
      <c r="G80" s="30"/>
      <c r="H80" s="45" t="s">
        <v>365</v>
      </c>
      <c r="I80" s="45" t="s">
        <v>374</v>
      </c>
      <c r="J80" s="45" t="s">
        <v>58</v>
      </c>
      <c r="K80" s="45" t="s">
        <v>58</v>
      </c>
      <c r="L80" s="45" t="s">
        <v>80</v>
      </c>
      <c r="M80" s="45"/>
      <c r="N80" s="52" t="s">
        <v>375</v>
      </c>
    </row>
    <row r="81" spans="1:14" ht="13.5" hidden="1" thickBot="1">
      <c r="A81" s="46" t="s">
        <v>94</v>
      </c>
      <c r="B81" s="48" t="s">
        <v>376</v>
      </c>
      <c r="C81" s="46" t="s">
        <v>56</v>
      </c>
      <c r="D81" s="46" t="s">
        <v>377</v>
      </c>
      <c r="E81" s="46">
        <v>180</v>
      </c>
      <c r="F81" s="50" t="s">
        <v>378</v>
      </c>
      <c r="G81" s="29"/>
      <c r="H81" s="46" t="s">
        <v>68</v>
      </c>
      <c r="I81" s="46" t="s">
        <v>379</v>
      </c>
      <c r="J81" s="46" t="s">
        <v>378</v>
      </c>
      <c r="K81" s="46" t="s">
        <v>380</v>
      </c>
      <c r="L81" s="46" t="s">
        <v>381</v>
      </c>
      <c r="M81" s="46"/>
      <c r="N81" s="53" t="s">
        <v>382</v>
      </c>
    </row>
    <row r="82" spans="1:14" ht="12.6" hidden="1" customHeight="1">
      <c r="A82" s="45" t="s">
        <v>94</v>
      </c>
      <c r="B82" s="47" t="s">
        <v>383</v>
      </c>
      <c r="C82" s="45" t="s">
        <v>56</v>
      </c>
      <c r="D82" s="45" t="s">
        <v>377</v>
      </c>
      <c r="E82" s="45">
        <v>185</v>
      </c>
      <c r="F82" s="49" t="s">
        <v>384</v>
      </c>
      <c r="G82" s="30"/>
      <c r="H82" s="45" t="s">
        <v>41</v>
      </c>
      <c r="I82" s="45" t="s">
        <v>385</v>
      </c>
      <c r="J82" s="45" t="s">
        <v>384</v>
      </c>
      <c r="K82" s="45" t="s">
        <v>126</v>
      </c>
      <c r="L82" s="45" t="s">
        <v>386</v>
      </c>
      <c r="M82" s="45"/>
      <c r="N82" s="52" t="s">
        <v>387</v>
      </c>
    </row>
    <row r="83" spans="1:14" ht="13.5" hidden="1" thickBot="1">
      <c r="A83" s="46" t="s">
        <v>94</v>
      </c>
      <c r="B83" s="48" t="s">
        <v>388</v>
      </c>
      <c r="C83" s="46" t="s">
        <v>56</v>
      </c>
      <c r="D83" s="46" t="s">
        <v>377</v>
      </c>
      <c r="E83" s="46">
        <v>190</v>
      </c>
      <c r="F83" s="50" t="s">
        <v>100</v>
      </c>
      <c r="G83" s="31"/>
      <c r="H83" s="46" t="s">
        <v>293</v>
      </c>
      <c r="I83" s="46" t="s">
        <v>389</v>
      </c>
      <c r="J83" s="46" t="s">
        <v>41</v>
      </c>
      <c r="K83" s="46" t="s">
        <v>264</v>
      </c>
      <c r="L83" s="46" t="s">
        <v>390</v>
      </c>
      <c r="M83" s="46"/>
      <c r="N83" s="53" t="s">
        <v>387</v>
      </c>
    </row>
    <row r="84" spans="1:14" ht="12.6" hidden="1" customHeight="1">
      <c r="A84" s="45" t="s">
        <v>94</v>
      </c>
      <c r="B84" s="47" t="s">
        <v>391</v>
      </c>
      <c r="C84" s="45" t="s">
        <v>56</v>
      </c>
      <c r="D84" s="45" t="s">
        <v>377</v>
      </c>
      <c r="E84" s="45">
        <v>160</v>
      </c>
      <c r="F84" s="49" t="s">
        <v>392</v>
      </c>
      <c r="G84" s="30"/>
      <c r="H84" s="45" t="s">
        <v>41</v>
      </c>
      <c r="I84" s="45" t="s">
        <v>393</v>
      </c>
      <c r="J84" s="45" t="s">
        <v>394</v>
      </c>
      <c r="K84" s="45" t="s">
        <v>68</v>
      </c>
      <c r="L84" s="45" t="s">
        <v>395</v>
      </c>
      <c r="M84" s="45"/>
      <c r="N84" s="52" t="s">
        <v>396</v>
      </c>
    </row>
    <row r="85" spans="1:14" ht="13.5" hidden="1" thickBot="1">
      <c r="A85" s="46" t="s">
        <v>94</v>
      </c>
      <c r="B85" s="48" t="s">
        <v>397</v>
      </c>
      <c r="C85" s="46" t="s">
        <v>56</v>
      </c>
      <c r="D85" s="46" t="s">
        <v>377</v>
      </c>
      <c r="E85" s="46">
        <v>170</v>
      </c>
      <c r="F85" s="50" t="s">
        <v>153</v>
      </c>
      <c r="G85" s="29"/>
      <c r="H85" s="46" t="s">
        <v>398</v>
      </c>
      <c r="I85" s="46" t="s">
        <v>153</v>
      </c>
      <c r="J85" s="46" t="s">
        <v>399</v>
      </c>
      <c r="K85" s="46" t="s">
        <v>400</v>
      </c>
      <c r="L85" s="46" t="s">
        <v>401</v>
      </c>
      <c r="M85" s="46"/>
      <c r="N85" s="53" t="s">
        <v>396</v>
      </c>
    </row>
    <row r="86" spans="1:14" ht="12.6" hidden="1" customHeight="1">
      <c r="A86" s="45" t="s">
        <v>94</v>
      </c>
      <c r="B86" s="47" t="s">
        <v>402</v>
      </c>
      <c r="C86" s="45" t="s">
        <v>56</v>
      </c>
      <c r="D86" s="45" t="s">
        <v>377</v>
      </c>
      <c r="E86" s="45">
        <v>155</v>
      </c>
      <c r="F86" s="49" t="s">
        <v>403</v>
      </c>
      <c r="G86" s="49"/>
      <c r="H86" s="45" t="s">
        <v>40</v>
      </c>
      <c r="I86" s="45" t="s">
        <v>404</v>
      </c>
      <c r="J86" s="45" t="s">
        <v>405</v>
      </c>
      <c r="K86" s="45" t="s">
        <v>365</v>
      </c>
      <c r="L86" s="45" t="s">
        <v>406</v>
      </c>
      <c r="M86" s="45"/>
      <c r="N86" s="52" t="s">
        <v>407</v>
      </c>
    </row>
    <row r="87" spans="1:14" ht="13.5" hidden="1" thickBot="1">
      <c r="A87" s="46" t="s">
        <v>94</v>
      </c>
      <c r="B87" s="48" t="s">
        <v>408</v>
      </c>
      <c r="C87" s="46" t="s">
        <v>56</v>
      </c>
      <c r="D87" s="46" t="s">
        <v>377</v>
      </c>
      <c r="E87" s="46">
        <v>195</v>
      </c>
      <c r="F87" s="50" t="s">
        <v>365</v>
      </c>
      <c r="G87" s="31"/>
      <c r="H87" s="46" t="s">
        <v>365</v>
      </c>
      <c r="I87" s="46" t="s">
        <v>194</v>
      </c>
      <c r="J87" s="46" t="s">
        <v>365</v>
      </c>
      <c r="K87" s="46" t="s">
        <v>307</v>
      </c>
      <c r="L87" s="46" t="s">
        <v>409</v>
      </c>
      <c r="M87" s="46"/>
      <c r="N87" s="53" t="s">
        <v>387</v>
      </c>
    </row>
    <row r="88" spans="1:14" ht="12.6" hidden="1" customHeight="1">
      <c r="A88" s="45" t="s">
        <v>94</v>
      </c>
      <c r="B88" s="47" t="s">
        <v>410</v>
      </c>
      <c r="C88" s="45" t="s">
        <v>56</v>
      </c>
      <c r="D88" s="45" t="s">
        <v>377</v>
      </c>
      <c r="E88" s="45">
        <v>145</v>
      </c>
      <c r="F88" s="49" t="s">
        <v>411</v>
      </c>
      <c r="G88" s="30"/>
      <c r="H88" s="45" t="s">
        <v>412</v>
      </c>
      <c r="I88" s="45" t="s">
        <v>413</v>
      </c>
      <c r="J88" s="45" t="s">
        <v>414</v>
      </c>
      <c r="K88" s="45" t="s">
        <v>105</v>
      </c>
      <c r="L88" s="45" t="s">
        <v>415</v>
      </c>
      <c r="M88" s="45"/>
      <c r="N88" s="45" t="s">
        <v>382</v>
      </c>
    </row>
    <row r="89" spans="1:14" ht="13.5" hidden="1" thickBot="1">
      <c r="A89" s="46" t="s">
        <v>94</v>
      </c>
      <c r="B89" s="48" t="s">
        <v>416</v>
      </c>
      <c r="C89" s="46" t="s">
        <v>56</v>
      </c>
      <c r="D89" s="46" t="s">
        <v>377</v>
      </c>
      <c r="E89" s="46">
        <v>150</v>
      </c>
      <c r="F89" s="50" t="s">
        <v>417</v>
      </c>
      <c r="G89" s="31"/>
      <c r="H89" s="46" t="s">
        <v>418</v>
      </c>
      <c r="I89" s="46" t="s">
        <v>419</v>
      </c>
      <c r="J89" s="46" t="s">
        <v>158</v>
      </c>
      <c r="K89" s="46" t="s">
        <v>420</v>
      </c>
      <c r="L89" s="46" t="s">
        <v>421</v>
      </c>
      <c r="M89" s="46"/>
      <c r="N89" s="46" t="s">
        <v>422</v>
      </c>
    </row>
    <row r="90" spans="1:14" ht="13.35" hidden="1" customHeight="1">
      <c r="A90" s="45" t="s">
        <v>94</v>
      </c>
      <c r="B90" s="47" t="s">
        <v>423</v>
      </c>
      <c r="C90" s="45" t="s">
        <v>56</v>
      </c>
      <c r="D90" s="45" t="s">
        <v>377</v>
      </c>
      <c r="E90" s="45">
        <v>175</v>
      </c>
      <c r="F90" s="51" t="s">
        <v>258</v>
      </c>
      <c r="G90" s="49"/>
      <c r="H90" s="45" t="s">
        <v>182</v>
      </c>
      <c r="I90" s="45" t="s">
        <v>69</v>
      </c>
      <c r="J90" s="45" t="s">
        <v>424</v>
      </c>
      <c r="K90" s="45" t="s">
        <v>68</v>
      </c>
      <c r="L90" s="45" t="s">
        <v>425</v>
      </c>
      <c r="M90" s="45"/>
      <c r="N90" s="45" t="s">
        <v>426</v>
      </c>
    </row>
    <row r="91" spans="1:14" hidden="1">
      <c r="A91" s="54" t="s">
        <v>94</v>
      </c>
      <c r="B91" s="55" t="s">
        <v>427</v>
      </c>
      <c r="C91" s="54" t="s">
        <v>73</v>
      </c>
      <c r="D91" s="54" t="s">
        <v>377</v>
      </c>
      <c r="E91" s="54">
        <v>230</v>
      </c>
      <c r="F91" s="56" t="s">
        <v>428</v>
      </c>
      <c r="G91" s="31"/>
      <c r="H91" s="54" t="s">
        <v>78</v>
      </c>
      <c r="I91" s="54" t="s">
        <v>429</v>
      </c>
      <c r="J91" s="54" t="s">
        <v>394</v>
      </c>
      <c r="K91" s="54" t="s">
        <v>195</v>
      </c>
      <c r="L91" s="54" t="s">
        <v>430</v>
      </c>
      <c r="M91" s="54"/>
      <c r="N91" s="54" t="s">
        <v>431</v>
      </c>
    </row>
    <row r="92" spans="1:14" hidden="1">
      <c r="A92" s="54" t="s">
        <v>94</v>
      </c>
      <c r="B92" s="55" t="s">
        <v>432</v>
      </c>
      <c r="C92" s="54" t="s">
        <v>56</v>
      </c>
      <c r="D92" s="54" t="s">
        <v>377</v>
      </c>
      <c r="E92" s="54">
        <v>165</v>
      </c>
      <c r="F92" s="56" t="s">
        <v>433</v>
      </c>
      <c r="G92" s="31"/>
      <c r="H92" s="54" t="s">
        <v>434</v>
      </c>
      <c r="I92" s="54" t="s">
        <v>433</v>
      </c>
      <c r="J92" s="54" t="s">
        <v>435</v>
      </c>
      <c r="K92" s="54" t="s">
        <v>365</v>
      </c>
      <c r="L92" s="54" t="s">
        <v>436</v>
      </c>
      <c r="M92" s="54"/>
      <c r="N92" s="54" t="s">
        <v>437</v>
      </c>
    </row>
    <row r="93" spans="1:14" ht="25.5" hidden="1">
      <c r="A93" s="54" t="s">
        <v>94</v>
      </c>
      <c r="B93" s="55" t="s">
        <v>438</v>
      </c>
      <c r="C93" s="54" t="s">
        <v>56</v>
      </c>
      <c r="D93" s="54" t="s">
        <v>377</v>
      </c>
      <c r="E93" s="54">
        <v>19898</v>
      </c>
      <c r="F93" s="56" t="s">
        <v>249</v>
      </c>
      <c r="G93" s="31"/>
      <c r="H93" s="54" t="s">
        <v>109</v>
      </c>
      <c r="I93" s="54" t="s">
        <v>439</v>
      </c>
      <c r="J93" s="54" t="s">
        <v>79</v>
      </c>
      <c r="K93" s="54" t="s">
        <v>98</v>
      </c>
      <c r="L93" s="54" t="s">
        <v>440</v>
      </c>
      <c r="M93" s="54"/>
      <c r="N93" s="54" t="s">
        <v>387</v>
      </c>
    </row>
    <row r="94" spans="1:14" ht="25.5" hidden="1">
      <c r="A94" s="54" t="s">
        <v>94</v>
      </c>
      <c r="B94" s="55" t="s">
        <v>441</v>
      </c>
      <c r="C94" s="54" t="s">
        <v>56</v>
      </c>
      <c r="D94" s="54" t="s">
        <v>377</v>
      </c>
      <c r="E94" s="54">
        <v>10998</v>
      </c>
      <c r="F94" s="56" t="s">
        <v>442</v>
      </c>
      <c r="G94" s="31"/>
      <c r="H94" s="54" t="s">
        <v>78</v>
      </c>
      <c r="I94" s="54" t="s">
        <v>443</v>
      </c>
      <c r="J94" s="54" t="s">
        <v>444</v>
      </c>
      <c r="K94" s="54" t="s">
        <v>78</v>
      </c>
      <c r="L94" s="54" t="s">
        <v>283</v>
      </c>
      <c r="M94" s="54"/>
      <c r="N94" s="54" t="s">
        <v>445</v>
      </c>
    </row>
    <row r="95" spans="1:14" hidden="1">
      <c r="A95" s="54" t="s">
        <v>94</v>
      </c>
      <c r="B95" s="55" t="s">
        <v>446</v>
      </c>
      <c r="C95" s="54" t="s">
        <v>56</v>
      </c>
      <c r="D95" s="54" t="s">
        <v>377</v>
      </c>
      <c r="E95" s="54">
        <v>120</v>
      </c>
      <c r="F95" s="56" t="s">
        <v>447</v>
      </c>
      <c r="G95" s="31"/>
      <c r="H95" s="54" t="s">
        <v>78</v>
      </c>
      <c r="I95" s="54" t="s">
        <v>448</v>
      </c>
      <c r="J95" s="54" t="s">
        <v>130</v>
      </c>
      <c r="K95" s="54" t="s">
        <v>78</v>
      </c>
      <c r="L95" s="54" t="s">
        <v>283</v>
      </c>
      <c r="M95" s="54"/>
      <c r="N95" s="54" t="s">
        <v>449</v>
      </c>
    </row>
    <row r="96" spans="1:14" hidden="1">
      <c r="A96" s="54" t="s">
        <v>94</v>
      </c>
      <c r="B96" s="55" t="s">
        <v>450</v>
      </c>
      <c r="C96" s="54" t="s">
        <v>73</v>
      </c>
      <c r="D96" s="54" t="s">
        <v>377</v>
      </c>
      <c r="E96" s="54">
        <v>210</v>
      </c>
      <c r="F96" s="56" t="s">
        <v>451</v>
      </c>
      <c r="G96" s="31"/>
      <c r="H96" s="54" t="s">
        <v>112</v>
      </c>
      <c r="I96" s="54" t="s">
        <v>451</v>
      </c>
      <c r="J96" s="54" t="s">
        <v>314</v>
      </c>
      <c r="K96" s="54" t="s">
        <v>68</v>
      </c>
      <c r="L96" s="54" t="s">
        <v>452</v>
      </c>
      <c r="M96" s="54"/>
      <c r="N96" s="54" t="s">
        <v>382</v>
      </c>
    </row>
    <row r="97" spans="1:14" hidden="1">
      <c r="A97" s="54" t="s">
        <v>94</v>
      </c>
      <c r="B97" s="55" t="s">
        <v>453</v>
      </c>
      <c r="C97" s="54" t="s">
        <v>56</v>
      </c>
      <c r="D97" s="54" t="s">
        <v>377</v>
      </c>
      <c r="E97" s="54">
        <v>140</v>
      </c>
      <c r="F97" s="56" t="s">
        <v>454</v>
      </c>
      <c r="G97" s="31"/>
      <c r="H97" s="54" t="s">
        <v>183</v>
      </c>
      <c r="I97" s="54" t="s">
        <v>455</v>
      </c>
      <c r="J97" s="54" t="s">
        <v>456</v>
      </c>
      <c r="K97" s="54" t="s">
        <v>105</v>
      </c>
      <c r="L97" s="54" t="s">
        <v>457</v>
      </c>
      <c r="M97" s="54"/>
      <c r="N97" s="54" t="s">
        <v>458</v>
      </c>
    </row>
    <row r="98" spans="1:14" ht="25.5" hidden="1">
      <c r="A98" s="54" t="s">
        <v>94</v>
      </c>
      <c r="B98" s="55" t="s">
        <v>459</v>
      </c>
      <c r="C98" s="54" t="s">
        <v>73</v>
      </c>
      <c r="D98" s="54" t="s">
        <v>377</v>
      </c>
      <c r="E98" s="54">
        <v>19898</v>
      </c>
      <c r="F98" s="56" t="s">
        <v>460</v>
      </c>
      <c r="G98" s="31"/>
      <c r="H98" s="54" t="s">
        <v>461</v>
      </c>
      <c r="I98" s="54" t="s">
        <v>62</v>
      </c>
      <c r="J98" s="54" t="s">
        <v>79</v>
      </c>
      <c r="K98" s="54" t="s">
        <v>117</v>
      </c>
      <c r="L98" s="54" t="s">
        <v>462</v>
      </c>
      <c r="M98" s="54"/>
      <c r="N98" s="54" t="s">
        <v>382</v>
      </c>
    </row>
    <row r="99" spans="1:14" hidden="1">
      <c r="A99" s="54" t="s">
        <v>94</v>
      </c>
      <c r="B99" s="55" t="s">
        <v>463</v>
      </c>
      <c r="C99" s="54" t="s">
        <v>56</v>
      </c>
      <c r="D99" s="54" t="s">
        <v>377</v>
      </c>
      <c r="E99" s="54">
        <v>135</v>
      </c>
      <c r="F99" s="56" t="s">
        <v>464</v>
      </c>
      <c r="G99" s="31"/>
      <c r="H99" s="54" t="s">
        <v>80</v>
      </c>
      <c r="I99" s="54" t="s">
        <v>465</v>
      </c>
      <c r="J99" s="54" t="s">
        <v>466</v>
      </c>
      <c r="K99" s="54" t="s">
        <v>78</v>
      </c>
      <c r="L99" s="54" t="s">
        <v>184</v>
      </c>
      <c r="M99" s="54"/>
      <c r="N99" s="54" t="s">
        <v>467</v>
      </c>
    </row>
    <row r="100" spans="1:14" hidden="1">
      <c r="A100" s="54" t="s">
        <v>94</v>
      </c>
      <c r="B100" s="55" t="s">
        <v>468</v>
      </c>
      <c r="C100" s="54" t="s">
        <v>56</v>
      </c>
      <c r="D100" s="54" t="s">
        <v>377</v>
      </c>
      <c r="E100" s="54">
        <v>129</v>
      </c>
      <c r="F100" s="56" t="s">
        <v>469</v>
      </c>
      <c r="G100" s="31"/>
      <c r="H100" s="54" t="s">
        <v>158</v>
      </c>
      <c r="I100" s="54" t="s">
        <v>470</v>
      </c>
      <c r="J100" s="54" t="s">
        <v>469</v>
      </c>
      <c r="K100" s="54" t="s">
        <v>98</v>
      </c>
      <c r="L100" s="54" t="s">
        <v>404</v>
      </c>
      <c r="M100" s="54"/>
      <c r="N100" s="54" t="s">
        <v>471</v>
      </c>
    </row>
    <row r="101" spans="1:14" hidden="1">
      <c r="A101" s="54" t="s">
        <v>94</v>
      </c>
      <c r="B101" s="55" t="s">
        <v>472</v>
      </c>
      <c r="C101" s="54" t="s">
        <v>56</v>
      </c>
      <c r="D101" s="54" t="s">
        <v>377</v>
      </c>
      <c r="E101" s="54">
        <v>123</v>
      </c>
      <c r="F101" s="56" t="s">
        <v>473</v>
      </c>
      <c r="G101" s="31"/>
      <c r="H101" s="54" t="s">
        <v>74</v>
      </c>
      <c r="I101" s="54" t="s">
        <v>474</v>
      </c>
      <c r="J101" s="54" t="s">
        <v>473</v>
      </c>
      <c r="K101" s="54" t="s">
        <v>112</v>
      </c>
      <c r="L101" s="54" t="s">
        <v>475</v>
      </c>
      <c r="M101" s="54"/>
      <c r="N101" s="54" t="s">
        <v>476</v>
      </c>
    </row>
    <row r="102" spans="1:14" hidden="1">
      <c r="A102" s="54" t="s">
        <v>94</v>
      </c>
      <c r="B102" s="55" t="s">
        <v>477</v>
      </c>
      <c r="C102" s="54" t="s">
        <v>56</v>
      </c>
      <c r="D102" s="54" t="s">
        <v>377</v>
      </c>
      <c r="E102" s="54">
        <v>102</v>
      </c>
      <c r="F102" s="56" t="s">
        <v>478</v>
      </c>
      <c r="G102" s="31"/>
      <c r="H102" s="54" t="s">
        <v>98</v>
      </c>
      <c r="I102" s="54" t="s">
        <v>479</v>
      </c>
      <c r="J102" s="54" t="s">
        <v>478</v>
      </c>
      <c r="K102" s="54" t="s">
        <v>185</v>
      </c>
      <c r="L102" s="54" t="s">
        <v>109</v>
      </c>
      <c r="M102" s="54"/>
      <c r="N102" s="54" t="s">
        <v>480</v>
      </c>
    </row>
    <row r="103" spans="1:14" hidden="1">
      <c r="A103" s="54" t="s">
        <v>94</v>
      </c>
      <c r="B103" s="55" t="s">
        <v>481</v>
      </c>
      <c r="C103" s="54" t="s">
        <v>73</v>
      </c>
      <c r="D103" s="54" t="s">
        <v>377</v>
      </c>
      <c r="E103" s="54">
        <v>220</v>
      </c>
      <c r="F103" s="56" t="s">
        <v>104</v>
      </c>
      <c r="G103" s="31"/>
      <c r="H103" s="54" t="s">
        <v>100</v>
      </c>
      <c r="I103" s="54" t="s">
        <v>259</v>
      </c>
      <c r="J103" s="54" t="s">
        <v>69</v>
      </c>
      <c r="K103" s="54" t="s">
        <v>80</v>
      </c>
      <c r="L103" s="54" t="s">
        <v>482</v>
      </c>
      <c r="M103" s="54"/>
      <c r="N103" s="54" t="s">
        <v>483</v>
      </c>
    </row>
    <row r="104" spans="1:14" hidden="1">
      <c r="A104" s="54" t="s">
        <v>94</v>
      </c>
      <c r="B104" s="55" t="s">
        <v>484</v>
      </c>
      <c r="C104" s="54" t="s">
        <v>56</v>
      </c>
      <c r="D104" s="54" t="s">
        <v>377</v>
      </c>
      <c r="E104" s="54">
        <v>117</v>
      </c>
      <c r="F104" s="56" t="s">
        <v>485</v>
      </c>
      <c r="G104" s="31"/>
      <c r="H104" s="54" t="s">
        <v>71</v>
      </c>
      <c r="I104" s="54" t="s">
        <v>486</v>
      </c>
      <c r="J104" s="54" t="s">
        <v>485</v>
      </c>
      <c r="K104" s="54" t="s">
        <v>100</v>
      </c>
      <c r="L104" s="54" t="s">
        <v>155</v>
      </c>
      <c r="M104" s="54"/>
      <c r="N104" s="54" t="s">
        <v>382</v>
      </c>
    </row>
    <row r="105" spans="1:14" hidden="1">
      <c r="A105" s="54" t="s">
        <v>94</v>
      </c>
      <c r="B105" s="55" t="s">
        <v>487</v>
      </c>
      <c r="C105" s="54" t="s">
        <v>56</v>
      </c>
      <c r="D105" s="54" t="s">
        <v>377</v>
      </c>
      <c r="E105" s="54">
        <v>114</v>
      </c>
      <c r="F105" s="56" t="s">
        <v>488</v>
      </c>
      <c r="G105" s="31"/>
      <c r="H105" s="54" t="s">
        <v>78</v>
      </c>
      <c r="I105" s="54" t="s">
        <v>488</v>
      </c>
      <c r="J105" s="54" t="s">
        <v>489</v>
      </c>
      <c r="K105" s="54" t="s">
        <v>185</v>
      </c>
      <c r="L105" s="54" t="s">
        <v>100</v>
      </c>
      <c r="M105" s="54"/>
      <c r="N105" s="54" t="s">
        <v>490</v>
      </c>
    </row>
    <row r="106" spans="1:14" hidden="1">
      <c r="A106" s="54" t="s">
        <v>94</v>
      </c>
      <c r="B106" s="55" t="s">
        <v>491</v>
      </c>
      <c r="C106" s="54" t="s">
        <v>73</v>
      </c>
      <c r="D106" s="54" t="s">
        <v>377</v>
      </c>
      <c r="E106" s="54">
        <v>195</v>
      </c>
      <c r="F106" s="56" t="s">
        <v>72</v>
      </c>
      <c r="G106" s="31"/>
      <c r="H106" s="54" t="s">
        <v>492</v>
      </c>
      <c r="I106" s="54" t="s">
        <v>72</v>
      </c>
      <c r="J106" s="54" t="s">
        <v>296</v>
      </c>
      <c r="K106" s="54" t="s">
        <v>482</v>
      </c>
      <c r="L106" s="54" t="s">
        <v>493</v>
      </c>
      <c r="M106" s="54"/>
      <c r="N106" s="54" t="s">
        <v>387</v>
      </c>
    </row>
    <row r="107" spans="1:14" hidden="1">
      <c r="A107" s="54" t="s">
        <v>94</v>
      </c>
      <c r="B107" s="55" t="s">
        <v>494</v>
      </c>
      <c r="C107" s="54" t="s">
        <v>73</v>
      </c>
      <c r="D107" s="54" t="s">
        <v>377</v>
      </c>
      <c r="E107" s="54">
        <v>240</v>
      </c>
      <c r="F107" s="56" t="s">
        <v>495</v>
      </c>
      <c r="G107" s="31"/>
      <c r="H107" s="54" t="s">
        <v>78</v>
      </c>
      <c r="I107" s="54" t="s">
        <v>496</v>
      </c>
      <c r="J107" s="54" t="s">
        <v>122</v>
      </c>
      <c r="K107" s="54" t="s">
        <v>293</v>
      </c>
      <c r="L107" s="54" t="s">
        <v>117</v>
      </c>
      <c r="M107" s="54"/>
      <c r="N107" s="54" t="s">
        <v>497</v>
      </c>
    </row>
    <row r="108" spans="1:14" hidden="1">
      <c r="A108" s="54" t="s">
        <v>94</v>
      </c>
      <c r="B108" s="55" t="s">
        <v>498</v>
      </c>
      <c r="C108" s="54" t="s">
        <v>56</v>
      </c>
      <c r="D108" s="54" t="s">
        <v>377</v>
      </c>
      <c r="E108" s="54">
        <v>126</v>
      </c>
      <c r="F108" s="56" t="s">
        <v>499</v>
      </c>
      <c r="G108" s="31"/>
      <c r="H108" s="54" t="s">
        <v>80</v>
      </c>
      <c r="I108" s="54" t="s">
        <v>500</v>
      </c>
      <c r="J108" s="54" t="s">
        <v>130</v>
      </c>
      <c r="K108" s="54" t="s">
        <v>78</v>
      </c>
      <c r="L108" s="54" t="s">
        <v>112</v>
      </c>
      <c r="M108" s="54"/>
      <c r="N108" s="54" t="s">
        <v>483</v>
      </c>
    </row>
    <row r="109" spans="1:14" hidden="1">
      <c r="A109" s="54" t="s">
        <v>94</v>
      </c>
      <c r="B109" s="55" t="s">
        <v>501</v>
      </c>
      <c r="C109" s="54" t="s">
        <v>73</v>
      </c>
      <c r="D109" s="54" t="s">
        <v>377</v>
      </c>
      <c r="E109" s="54">
        <v>190</v>
      </c>
      <c r="F109" s="56" t="s">
        <v>63</v>
      </c>
      <c r="G109" s="31"/>
      <c r="H109" s="54" t="s">
        <v>502</v>
      </c>
      <c r="I109" s="54" t="s">
        <v>58</v>
      </c>
      <c r="J109" s="54" t="s">
        <v>63</v>
      </c>
      <c r="K109" s="54" t="s">
        <v>158</v>
      </c>
      <c r="L109" s="54" t="s">
        <v>503</v>
      </c>
      <c r="M109" s="54"/>
      <c r="N109" s="54" t="s">
        <v>504</v>
      </c>
    </row>
    <row r="110" spans="1:14" hidden="1">
      <c r="A110" s="54" t="s">
        <v>94</v>
      </c>
      <c r="B110" s="55" t="s">
        <v>505</v>
      </c>
      <c r="C110" s="54" t="s">
        <v>56</v>
      </c>
      <c r="D110" s="54" t="s">
        <v>377</v>
      </c>
      <c r="E110" s="54">
        <v>210</v>
      </c>
      <c r="F110" s="56" t="s">
        <v>58</v>
      </c>
      <c r="G110" s="31"/>
      <c r="H110" s="54" t="s">
        <v>506</v>
      </c>
      <c r="I110" s="54" t="s">
        <v>58</v>
      </c>
      <c r="J110" s="54" t="s">
        <v>63</v>
      </c>
      <c r="K110" s="54" t="s">
        <v>163</v>
      </c>
      <c r="L110" s="54" t="s">
        <v>507</v>
      </c>
      <c r="M110" s="54"/>
      <c r="N110" s="54" t="s">
        <v>504</v>
      </c>
    </row>
    <row r="111" spans="1:14" hidden="1">
      <c r="A111" s="54" t="s">
        <v>94</v>
      </c>
      <c r="B111" s="55" t="s">
        <v>508</v>
      </c>
      <c r="C111" s="54" t="s">
        <v>56</v>
      </c>
      <c r="D111" s="54" t="s">
        <v>377</v>
      </c>
      <c r="E111" s="54">
        <v>220</v>
      </c>
      <c r="F111" s="56" t="s">
        <v>63</v>
      </c>
      <c r="G111" s="31"/>
      <c r="H111" s="54" t="s">
        <v>509</v>
      </c>
      <c r="I111" s="54" t="s">
        <v>63</v>
      </c>
      <c r="J111" s="54" t="s">
        <v>63</v>
      </c>
      <c r="K111" s="54" t="s">
        <v>80</v>
      </c>
      <c r="L111" s="54" t="s">
        <v>510</v>
      </c>
      <c r="M111" s="54"/>
      <c r="N111" s="54" t="s">
        <v>387</v>
      </c>
    </row>
    <row r="112" spans="1:14" hidden="1">
      <c r="A112" s="54" t="s">
        <v>94</v>
      </c>
      <c r="B112" s="55" t="s">
        <v>511</v>
      </c>
      <c r="C112" s="54" t="s">
        <v>56</v>
      </c>
      <c r="D112" s="54" t="s">
        <v>377</v>
      </c>
      <c r="E112" s="54">
        <v>280</v>
      </c>
      <c r="F112" s="56" t="s">
        <v>58</v>
      </c>
      <c r="G112" s="31"/>
      <c r="H112" s="54" t="s">
        <v>512</v>
      </c>
      <c r="I112" s="54" t="s">
        <v>58</v>
      </c>
      <c r="J112" s="54" t="s">
        <v>58</v>
      </c>
      <c r="K112" s="54" t="s">
        <v>60</v>
      </c>
      <c r="L112" s="54" t="s">
        <v>513</v>
      </c>
      <c r="M112" s="54"/>
      <c r="N112" s="54" t="s">
        <v>407</v>
      </c>
    </row>
    <row r="113" spans="1:14" hidden="1">
      <c r="A113" s="54" t="s">
        <v>94</v>
      </c>
      <c r="B113" s="55" t="s">
        <v>514</v>
      </c>
      <c r="C113" s="54" t="s">
        <v>73</v>
      </c>
      <c r="D113" s="54" t="s">
        <v>377</v>
      </c>
      <c r="E113" s="54">
        <v>185</v>
      </c>
      <c r="F113" s="56" t="s">
        <v>63</v>
      </c>
      <c r="G113" s="31"/>
      <c r="H113" s="54" t="s">
        <v>240</v>
      </c>
      <c r="I113" s="54" t="s">
        <v>58</v>
      </c>
      <c r="J113" s="54" t="s">
        <v>63</v>
      </c>
      <c r="K113" s="54" t="s">
        <v>515</v>
      </c>
      <c r="L113" s="54" t="s">
        <v>516</v>
      </c>
      <c r="M113" s="54"/>
      <c r="N113" s="54" t="s">
        <v>517</v>
      </c>
    </row>
    <row r="114" spans="1:14" hidden="1">
      <c r="A114" s="54" t="s">
        <v>94</v>
      </c>
      <c r="B114" s="55" t="s">
        <v>518</v>
      </c>
      <c r="C114" s="54" t="s">
        <v>73</v>
      </c>
      <c r="D114" s="54" t="s">
        <v>377</v>
      </c>
      <c r="E114" s="54">
        <v>180</v>
      </c>
      <c r="F114" s="56" t="s">
        <v>58</v>
      </c>
      <c r="G114" s="31"/>
      <c r="H114" s="54" t="s">
        <v>519</v>
      </c>
      <c r="I114" s="54" t="s">
        <v>58</v>
      </c>
      <c r="J114" s="54" t="s">
        <v>58</v>
      </c>
      <c r="K114" s="54" t="s">
        <v>520</v>
      </c>
      <c r="L114" s="54" t="s">
        <v>521</v>
      </c>
      <c r="M114" s="54"/>
      <c r="N114" s="54" t="s">
        <v>382</v>
      </c>
    </row>
    <row r="115" spans="1:14" hidden="1">
      <c r="A115" s="54" t="s">
        <v>94</v>
      </c>
      <c r="B115" s="55" t="s">
        <v>522</v>
      </c>
      <c r="C115" s="54" t="s">
        <v>56</v>
      </c>
      <c r="D115" s="54" t="s">
        <v>377</v>
      </c>
      <c r="E115" s="54">
        <v>230</v>
      </c>
      <c r="F115" s="56" t="s">
        <v>58</v>
      </c>
      <c r="G115" s="31"/>
      <c r="H115" s="54" t="s">
        <v>523</v>
      </c>
      <c r="I115" s="54" t="s">
        <v>58</v>
      </c>
      <c r="J115" s="54" t="s">
        <v>58</v>
      </c>
      <c r="K115" s="54" t="s">
        <v>524</v>
      </c>
      <c r="L115" s="54" t="s">
        <v>525</v>
      </c>
      <c r="M115" s="54"/>
      <c r="N115" s="54" t="s">
        <v>526</v>
      </c>
    </row>
    <row r="116" spans="1:14" hidden="1">
      <c r="A116" s="54" t="s">
        <v>94</v>
      </c>
      <c r="B116" s="55" t="s">
        <v>527</v>
      </c>
      <c r="C116" s="54" t="s">
        <v>56</v>
      </c>
      <c r="D116" s="54" t="s">
        <v>377</v>
      </c>
      <c r="E116" s="54">
        <v>270</v>
      </c>
      <c r="F116" s="56" t="s">
        <v>58</v>
      </c>
      <c r="G116" s="31"/>
      <c r="H116" s="54" t="s">
        <v>528</v>
      </c>
      <c r="I116" s="54" t="s">
        <v>58</v>
      </c>
      <c r="J116" s="54" t="s">
        <v>58</v>
      </c>
      <c r="K116" s="54" t="s">
        <v>77</v>
      </c>
      <c r="L116" s="54" t="s">
        <v>529</v>
      </c>
      <c r="M116" s="54"/>
      <c r="N116" s="54" t="s">
        <v>530</v>
      </c>
    </row>
    <row r="117" spans="1:14" hidden="1">
      <c r="A117" s="54" t="s">
        <v>94</v>
      </c>
      <c r="B117" s="55" t="s">
        <v>531</v>
      </c>
      <c r="C117" s="54" t="s">
        <v>56</v>
      </c>
      <c r="D117" s="54" t="s">
        <v>377</v>
      </c>
      <c r="E117" s="54">
        <v>300</v>
      </c>
      <c r="F117" s="56" t="s">
        <v>58</v>
      </c>
      <c r="G117" s="31"/>
      <c r="H117" s="54" t="s">
        <v>532</v>
      </c>
      <c r="I117" s="54" t="s">
        <v>58</v>
      </c>
      <c r="J117" s="54" t="s">
        <v>58</v>
      </c>
      <c r="K117" s="54" t="s">
        <v>528</v>
      </c>
      <c r="L117" s="54" t="s">
        <v>533</v>
      </c>
      <c r="M117" s="54"/>
      <c r="N117" s="54" t="s">
        <v>396</v>
      </c>
    </row>
    <row r="118" spans="1:14" hidden="1">
      <c r="A118" s="54" t="s">
        <v>94</v>
      </c>
      <c r="B118" s="55" t="s">
        <v>534</v>
      </c>
      <c r="C118" s="54" t="s">
        <v>73</v>
      </c>
      <c r="D118" s="54" t="s">
        <v>377</v>
      </c>
      <c r="E118" s="54">
        <v>150</v>
      </c>
      <c r="F118" s="56" t="s">
        <v>61</v>
      </c>
      <c r="G118" s="31"/>
      <c r="H118" s="54" t="s">
        <v>98</v>
      </c>
      <c r="I118" s="54" t="s">
        <v>58</v>
      </c>
      <c r="J118" s="54" t="s">
        <v>61</v>
      </c>
      <c r="K118" s="54" t="s">
        <v>535</v>
      </c>
      <c r="L118" s="54" t="s">
        <v>325</v>
      </c>
      <c r="M118" s="54"/>
      <c r="N118" s="54" t="s">
        <v>536</v>
      </c>
    </row>
    <row r="119" spans="1:14" hidden="1">
      <c r="A119" s="54" t="s">
        <v>94</v>
      </c>
      <c r="B119" s="55" t="s">
        <v>537</v>
      </c>
      <c r="C119" s="54" t="s">
        <v>73</v>
      </c>
      <c r="D119" s="54" t="s">
        <v>377</v>
      </c>
      <c r="E119" s="54">
        <v>140</v>
      </c>
      <c r="F119" s="56" t="s">
        <v>63</v>
      </c>
      <c r="G119" s="31"/>
      <c r="H119" s="54" t="s">
        <v>58</v>
      </c>
      <c r="I119" s="54" t="s">
        <v>58</v>
      </c>
      <c r="J119" s="54" t="s">
        <v>63</v>
      </c>
      <c r="K119" s="54" t="s">
        <v>80</v>
      </c>
      <c r="L119" s="54" t="s">
        <v>538</v>
      </c>
      <c r="M119" s="54"/>
      <c r="N119" s="54" t="s">
        <v>539</v>
      </c>
    </row>
    <row r="120" spans="1:14" hidden="1">
      <c r="A120" s="54" t="s">
        <v>94</v>
      </c>
      <c r="B120" s="55" t="s">
        <v>540</v>
      </c>
      <c r="C120" s="54" t="s">
        <v>73</v>
      </c>
      <c r="D120" s="54" t="s">
        <v>377</v>
      </c>
      <c r="E120" s="54">
        <v>165</v>
      </c>
      <c r="F120" s="56" t="s">
        <v>63</v>
      </c>
      <c r="G120" s="31"/>
      <c r="H120" s="54" t="s">
        <v>185</v>
      </c>
      <c r="I120" s="54" t="s">
        <v>63</v>
      </c>
      <c r="J120" s="54" t="s">
        <v>61</v>
      </c>
      <c r="K120" s="54" t="s">
        <v>78</v>
      </c>
      <c r="L120" s="54" t="s">
        <v>162</v>
      </c>
      <c r="M120" s="54"/>
      <c r="N120" s="54" t="s">
        <v>541</v>
      </c>
    </row>
    <row r="121" spans="1:14" hidden="1">
      <c r="A121" s="54" t="s">
        <v>94</v>
      </c>
      <c r="B121" s="55" t="s">
        <v>542</v>
      </c>
      <c r="C121" s="54" t="s">
        <v>56</v>
      </c>
      <c r="D121" s="54" t="s">
        <v>377</v>
      </c>
      <c r="E121" s="54">
        <v>260</v>
      </c>
      <c r="F121" s="56" t="s">
        <v>58</v>
      </c>
      <c r="G121" s="31"/>
      <c r="H121" s="54" t="s">
        <v>58</v>
      </c>
      <c r="I121" s="54" t="s">
        <v>58</v>
      </c>
      <c r="J121" s="54" t="s">
        <v>63</v>
      </c>
      <c r="K121" s="54" t="s">
        <v>126</v>
      </c>
      <c r="L121" s="54" t="s">
        <v>543</v>
      </c>
      <c r="M121" s="54"/>
      <c r="N121" s="54" t="s">
        <v>544</v>
      </c>
    </row>
    <row r="122" spans="1:14" hidden="1">
      <c r="A122" s="54" t="s">
        <v>94</v>
      </c>
      <c r="B122" s="55" t="s">
        <v>545</v>
      </c>
      <c r="C122" s="54" t="s">
        <v>56</v>
      </c>
      <c r="D122" s="54" t="s">
        <v>377</v>
      </c>
      <c r="E122" s="54">
        <v>240</v>
      </c>
      <c r="F122" s="56" t="s">
        <v>58</v>
      </c>
      <c r="G122" s="31"/>
      <c r="H122" s="54" t="s">
        <v>546</v>
      </c>
      <c r="I122" s="54" t="s">
        <v>58</v>
      </c>
      <c r="J122" s="54" t="s">
        <v>75</v>
      </c>
      <c r="K122" s="54" t="s">
        <v>293</v>
      </c>
      <c r="L122" s="54" t="s">
        <v>547</v>
      </c>
      <c r="M122" s="54"/>
      <c r="N122" s="54" t="s">
        <v>548</v>
      </c>
    </row>
    <row r="123" spans="1:14" hidden="1">
      <c r="A123" s="54" t="s">
        <v>94</v>
      </c>
      <c r="B123" s="55" t="s">
        <v>549</v>
      </c>
      <c r="C123" s="54" t="s">
        <v>73</v>
      </c>
      <c r="D123" s="54" t="s">
        <v>377</v>
      </c>
      <c r="E123" s="54">
        <v>160</v>
      </c>
      <c r="F123" s="56" t="s">
        <v>63</v>
      </c>
      <c r="G123" s="31"/>
      <c r="H123" s="54" t="s">
        <v>68</v>
      </c>
      <c r="I123" s="54" t="s">
        <v>58</v>
      </c>
      <c r="J123" s="54" t="s">
        <v>63</v>
      </c>
      <c r="K123" s="54" t="s">
        <v>264</v>
      </c>
      <c r="L123" s="54" t="s">
        <v>112</v>
      </c>
      <c r="M123" s="54"/>
      <c r="N123" s="54" t="s">
        <v>550</v>
      </c>
    </row>
    <row r="124" spans="1:14" hidden="1">
      <c r="A124" s="54" t="s">
        <v>94</v>
      </c>
      <c r="B124" s="55" t="s">
        <v>551</v>
      </c>
      <c r="C124" s="54" t="s">
        <v>73</v>
      </c>
      <c r="D124" s="54" t="s">
        <v>377</v>
      </c>
      <c r="E124" s="54">
        <v>170</v>
      </c>
      <c r="F124" s="56" t="s">
        <v>63</v>
      </c>
      <c r="G124" s="31"/>
      <c r="H124" s="54" t="s">
        <v>108</v>
      </c>
      <c r="I124" s="54" t="s">
        <v>58</v>
      </c>
      <c r="J124" s="54" t="s">
        <v>552</v>
      </c>
      <c r="K124" s="54" t="s">
        <v>553</v>
      </c>
      <c r="L124" s="54" t="s">
        <v>554</v>
      </c>
      <c r="M124" s="54"/>
      <c r="N124" s="54" t="s">
        <v>555</v>
      </c>
    </row>
    <row r="125" spans="1:14" hidden="1">
      <c r="A125" s="54" t="s">
        <v>94</v>
      </c>
      <c r="B125" s="55" t="s">
        <v>556</v>
      </c>
      <c r="C125" s="54" t="s">
        <v>73</v>
      </c>
      <c r="D125" s="54" t="s">
        <v>377</v>
      </c>
      <c r="E125" s="54">
        <v>175</v>
      </c>
      <c r="F125" s="56" t="s">
        <v>63</v>
      </c>
      <c r="G125" s="31"/>
      <c r="H125" s="54" t="s">
        <v>557</v>
      </c>
      <c r="I125" s="54" t="s">
        <v>58</v>
      </c>
      <c r="J125" s="54" t="s">
        <v>61</v>
      </c>
      <c r="K125" s="54" t="s">
        <v>558</v>
      </c>
      <c r="L125" s="54" t="s">
        <v>559</v>
      </c>
      <c r="M125" s="54"/>
      <c r="N125" s="54" t="s">
        <v>560</v>
      </c>
    </row>
    <row r="126" spans="1:14" hidden="1">
      <c r="A126" s="54" t="s">
        <v>94</v>
      </c>
      <c r="B126" s="55" t="s">
        <v>561</v>
      </c>
      <c r="C126" s="54" t="s">
        <v>73</v>
      </c>
      <c r="D126" s="54" t="s">
        <v>377</v>
      </c>
      <c r="E126" s="54">
        <v>145</v>
      </c>
      <c r="F126" s="56" t="s">
        <v>63</v>
      </c>
      <c r="G126" s="31"/>
      <c r="H126" s="54" t="s">
        <v>479</v>
      </c>
      <c r="I126" s="54" t="s">
        <v>63</v>
      </c>
      <c r="J126" s="54" t="s">
        <v>63</v>
      </c>
      <c r="K126" s="54" t="s">
        <v>562</v>
      </c>
      <c r="L126" s="54" t="s">
        <v>563</v>
      </c>
      <c r="M126" s="54"/>
      <c r="N126" s="54" t="s">
        <v>564</v>
      </c>
    </row>
    <row r="127" spans="1:14" hidden="1">
      <c r="A127" s="54" t="s">
        <v>94</v>
      </c>
      <c r="B127" s="55" t="s">
        <v>565</v>
      </c>
      <c r="C127" s="54" t="s">
        <v>73</v>
      </c>
      <c r="D127" s="54" t="s">
        <v>377</v>
      </c>
      <c r="E127" s="54">
        <v>155</v>
      </c>
      <c r="F127" s="56" t="s">
        <v>61</v>
      </c>
      <c r="G127" s="31"/>
      <c r="H127" s="54" t="s">
        <v>365</v>
      </c>
      <c r="I127" s="54" t="s">
        <v>61</v>
      </c>
      <c r="J127" s="54" t="s">
        <v>61</v>
      </c>
      <c r="K127" s="54" t="s">
        <v>566</v>
      </c>
      <c r="L127" s="54" t="s">
        <v>183</v>
      </c>
      <c r="M127" s="54"/>
      <c r="N127" s="54" t="s">
        <v>567</v>
      </c>
    </row>
    <row r="128" spans="1:14" hidden="1">
      <c r="A128" s="54" t="s">
        <v>94</v>
      </c>
      <c r="B128" s="55" t="s">
        <v>568</v>
      </c>
      <c r="C128" s="54" t="s">
        <v>73</v>
      </c>
      <c r="D128" s="54" t="s">
        <v>377</v>
      </c>
      <c r="E128" s="54">
        <v>135</v>
      </c>
      <c r="F128" s="56" t="s">
        <v>58</v>
      </c>
      <c r="G128" s="31"/>
      <c r="H128" s="54" t="s">
        <v>78</v>
      </c>
      <c r="I128" s="54" t="s">
        <v>58</v>
      </c>
      <c r="J128" s="54" t="s">
        <v>58</v>
      </c>
      <c r="K128" s="54" t="s">
        <v>178</v>
      </c>
      <c r="L128" s="54" t="s">
        <v>569</v>
      </c>
      <c r="M128" s="54"/>
      <c r="N128" s="54" t="s">
        <v>570</v>
      </c>
    </row>
    <row r="129" spans="1:14" hidden="1">
      <c r="A129" s="54" t="s">
        <v>94</v>
      </c>
      <c r="B129" s="55" t="s">
        <v>571</v>
      </c>
      <c r="C129" s="54" t="s">
        <v>56</v>
      </c>
      <c r="D129" s="54" t="s">
        <v>377</v>
      </c>
      <c r="E129" s="54">
        <v>132</v>
      </c>
      <c r="F129" s="56" t="s">
        <v>572</v>
      </c>
      <c r="G129" s="31"/>
      <c r="H129" s="54" t="s">
        <v>78</v>
      </c>
      <c r="I129" s="54" t="s">
        <v>573</v>
      </c>
      <c r="J129" s="54" t="s">
        <v>572</v>
      </c>
      <c r="K129" s="54" t="s">
        <v>78</v>
      </c>
      <c r="L129" s="54" t="s">
        <v>293</v>
      </c>
      <c r="M129" s="54"/>
      <c r="N129" s="54">
        <v>44540.666666666664</v>
      </c>
    </row>
    <row r="130" spans="1:14" hidden="1">
      <c r="A130" s="54" t="s">
        <v>94</v>
      </c>
      <c r="B130" s="55" t="s">
        <v>574</v>
      </c>
      <c r="C130" s="54" t="s">
        <v>56</v>
      </c>
      <c r="D130" s="54" t="s">
        <v>377</v>
      </c>
      <c r="E130" s="54">
        <v>250</v>
      </c>
      <c r="F130" s="56" t="s">
        <v>63</v>
      </c>
      <c r="G130" s="31"/>
      <c r="H130" s="54" t="s">
        <v>575</v>
      </c>
      <c r="I130" s="54" t="s">
        <v>63</v>
      </c>
      <c r="J130" s="54" t="s">
        <v>61</v>
      </c>
      <c r="K130" s="54" t="s">
        <v>519</v>
      </c>
      <c r="L130" s="54" t="s">
        <v>576</v>
      </c>
      <c r="M130" s="54"/>
      <c r="N130" s="54">
        <v>44540.707638888889</v>
      </c>
    </row>
    <row r="131" spans="1:14" hidden="1">
      <c r="A131" s="54" t="s">
        <v>94</v>
      </c>
      <c r="B131" s="55" t="s">
        <v>577</v>
      </c>
      <c r="C131" s="54" t="s">
        <v>73</v>
      </c>
      <c r="D131" s="54" t="s">
        <v>377</v>
      </c>
      <c r="E131" s="54">
        <v>120</v>
      </c>
      <c r="F131" s="56" t="s">
        <v>63</v>
      </c>
      <c r="G131" s="31"/>
      <c r="H131" s="54" t="s">
        <v>457</v>
      </c>
      <c r="I131" s="54" t="s">
        <v>63</v>
      </c>
      <c r="J131" s="54" t="s">
        <v>578</v>
      </c>
      <c r="K131" s="54" t="s">
        <v>237</v>
      </c>
      <c r="L131" s="54" t="s">
        <v>579</v>
      </c>
      <c r="M131" s="54"/>
      <c r="N131" s="54">
        <v>44540.61041666667</v>
      </c>
    </row>
    <row r="132" spans="1:14" ht="25.5" hidden="1">
      <c r="A132" s="54" t="s">
        <v>94</v>
      </c>
      <c r="B132" s="55" t="s">
        <v>580</v>
      </c>
      <c r="C132" s="54" t="s">
        <v>73</v>
      </c>
      <c r="D132" s="54" t="s">
        <v>377</v>
      </c>
      <c r="E132" s="54">
        <v>10998</v>
      </c>
      <c r="F132" s="56" t="s">
        <v>58</v>
      </c>
      <c r="G132" s="31"/>
      <c r="H132" s="54" t="s">
        <v>83</v>
      </c>
      <c r="I132" s="54" t="s">
        <v>63</v>
      </c>
      <c r="J132" s="54" t="s">
        <v>581</v>
      </c>
      <c r="K132" s="54" t="s">
        <v>293</v>
      </c>
      <c r="L132" s="54" t="s">
        <v>582</v>
      </c>
      <c r="M132" s="54"/>
      <c r="N132" s="54">
        <v>44510.67291666667</v>
      </c>
    </row>
    <row r="133" spans="1:14" hidden="1">
      <c r="A133" s="54" t="s">
        <v>94</v>
      </c>
      <c r="B133" s="55" t="s">
        <v>583</v>
      </c>
      <c r="C133" s="54" t="s">
        <v>73</v>
      </c>
      <c r="D133" s="54" t="s">
        <v>377</v>
      </c>
      <c r="E133" s="54">
        <v>99</v>
      </c>
      <c r="F133" s="56" t="s">
        <v>63</v>
      </c>
      <c r="G133" s="31"/>
      <c r="H133" s="54" t="s">
        <v>186</v>
      </c>
      <c r="I133" s="54" t="s">
        <v>63</v>
      </c>
      <c r="J133" s="54" t="s">
        <v>63</v>
      </c>
      <c r="K133" s="54" t="s">
        <v>83</v>
      </c>
      <c r="L133" s="54" t="s">
        <v>584</v>
      </c>
      <c r="M133" s="54"/>
      <c r="N133" s="54">
        <v>44510.705555555556</v>
      </c>
    </row>
  </sheetData>
  <autoFilter ref="A9:N133" xr:uid="{832B37D6-15FC-45A7-B7DE-7F23FAD324CE}">
    <filterColumn colId="2">
      <filters>
        <filter val="Call"/>
      </filters>
    </filterColumn>
    <filterColumn colId="3">
      <filters>
        <filter val="17/12/2021"/>
      </filters>
    </filterColumn>
    <sortState xmlns:xlrd2="http://schemas.microsoft.com/office/spreadsheetml/2017/richdata2" ref="A10:N76">
      <sortCondition ref="E9:E133"/>
    </sortState>
  </autoFilter>
  <hyperlinks>
    <hyperlink ref="B1" r:id="rId1" location="0" xr:uid="{E9ED5E51-84B6-4929-9AF0-AFEC34FB7252}"/>
  </hyperlinks>
  <pageMargins left="0.7" right="0.7" top="0.75" bottom="0.75" header="0.3" footer="0.3"/>
  <pageSetup orientation="portrait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49A2E-E4FA-4438-8A24-5AE0BE9CEC31}">
  <sheetPr codeName="Sheet3"/>
  <dimension ref="A1:L168"/>
  <sheetViews>
    <sheetView topLeftCell="A167" workbookViewId="0">
      <selection activeCell="B5" sqref="B5"/>
    </sheetView>
  </sheetViews>
  <sheetFormatPr defaultRowHeight="12.75"/>
  <cols>
    <col min="1" max="1" width="22" customWidth="1"/>
    <col min="2" max="2" width="17.85546875" customWidth="1"/>
    <col min="3" max="3" width="8.140625" bestFit="1" customWidth="1"/>
  </cols>
  <sheetData>
    <row r="1" spans="1:12">
      <c r="A1" s="7" t="s">
        <v>21</v>
      </c>
      <c r="B1" s="3" t="s">
        <v>31</v>
      </c>
      <c r="C1" s="2"/>
      <c r="D1" s="2"/>
      <c r="E1" s="2"/>
      <c r="F1" s="2"/>
      <c r="G1" s="2"/>
      <c r="H1" s="2"/>
    </row>
    <row r="2" spans="1:12">
      <c r="A2" s="7" t="s">
        <v>23</v>
      </c>
      <c r="B2" s="1" t="s">
        <v>29</v>
      </c>
      <c r="C2" s="2"/>
      <c r="D2" s="2"/>
      <c r="E2" s="2"/>
      <c r="F2" s="2"/>
      <c r="G2" s="2"/>
      <c r="H2" s="2"/>
    </row>
    <row r="3" spans="1:12">
      <c r="A3" s="7" t="s">
        <v>26</v>
      </c>
      <c r="B3" s="1" t="s">
        <v>30</v>
      </c>
      <c r="C3" s="2"/>
      <c r="D3" s="2"/>
      <c r="E3" s="2"/>
      <c r="F3" s="2"/>
      <c r="G3" s="2"/>
      <c r="H3" s="2"/>
    </row>
    <row r="4" spans="1:12">
      <c r="A4" s="7" t="s">
        <v>28</v>
      </c>
      <c r="B4" s="1" t="s">
        <v>1159</v>
      </c>
      <c r="C4" s="2"/>
      <c r="D4" s="2"/>
      <c r="E4" s="2"/>
      <c r="F4" s="2"/>
      <c r="G4" s="2"/>
      <c r="H4" s="2"/>
    </row>
    <row r="5" spans="1:12">
      <c r="A5" s="7" t="s">
        <v>25</v>
      </c>
      <c r="B5" s="1" t="s">
        <v>89</v>
      </c>
      <c r="C5" s="2"/>
      <c r="D5" s="2"/>
      <c r="E5" s="2"/>
      <c r="F5" s="2"/>
      <c r="G5" s="2"/>
      <c r="H5" s="2"/>
    </row>
    <row r="6" spans="1:12">
      <c r="A6" s="7" t="s">
        <v>88</v>
      </c>
      <c r="B6" s="1">
        <v>325</v>
      </c>
      <c r="C6" s="2"/>
      <c r="D6" s="2"/>
      <c r="E6" s="2"/>
      <c r="F6" s="2"/>
      <c r="G6" s="2"/>
      <c r="H6" s="2"/>
    </row>
    <row r="7" spans="1:12">
      <c r="A7" s="7" t="s">
        <v>90</v>
      </c>
      <c r="B7" s="1" t="s">
        <v>96</v>
      </c>
      <c r="C7" s="2"/>
      <c r="D7" s="2"/>
      <c r="E7" s="2"/>
      <c r="F7" s="2"/>
      <c r="G7" s="2"/>
      <c r="H7" s="2"/>
    </row>
    <row r="8" spans="1:12">
      <c r="A8" s="44"/>
      <c r="B8" s="44"/>
    </row>
    <row r="9" spans="1:12">
      <c r="A9" s="61" t="s">
        <v>585</v>
      </c>
    </row>
    <row r="10" spans="1:12" ht="18" thickBot="1">
      <c r="A10" s="62" t="s">
        <v>11</v>
      </c>
      <c r="B10" s="63" t="s">
        <v>2</v>
      </c>
      <c r="C10" s="64" t="s">
        <v>3</v>
      </c>
      <c r="D10" s="63" t="s">
        <v>4</v>
      </c>
      <c r="E10" s="63" t="s">
        <v>5</v>
      </c>
      <c r="F10" s="63" t="s">
        <v>6</v>
      </c>
      <c r="G10" s="63" t="s">
        <v>1</v>
      </c>
      <c r="H10" s="63" t="s">
        <v>7</v>
      </c>
      <c r="I10" s="63" t="s">
        <v>8</v>
      </c>
      <c r="J10" s="63" t="s">
        <v>9</v>
      </c>
      <c r="K10" s="63" t="s">
        <v>10</v>
      </c>
      <c r="L10" s="8" t="s">
        <v>93</v>
      </c>
    </row>
    <row r="11" spans="1:12" ht="26.25" thickBot="1">
      <c r="A11" s="4" t="s">
        <v>586</v>
      </c>
      <c r="B11" s="9" t="s">
        <v>587</v>
      </c>
      <c r="C11" s="5">
        <v>150</v>
      </c>
      <c r="D11" s="9">
        <v>169.74</v>
      </c>
      <c r="E11" s="9">
        <v>174.8</v>
      </c>
      <c r="F11" s="9">
        <v>175.15</v>
      </c>
      <c r="G11" s="9">
        <v>0</v>
      </c>
      <c r="H11" s="9" t="s">
        <v>0</v>
      </c>
      <c r="I11" s="9">
        <v>6</v>
      </c>
      <c r="J11" s="9">
        <v>16</v>
      </c>
      <c r="K11" s="12">
        <v>0.79100000000000004</v>
      </c>
      <c r="L11">
        <f>(E11+F11)/2</f>
        <v>174.97500000000002</v>
      </c>
    </row>
    <row r="12" spans="1:12" ht="26.25" thickBot="1">
      <c r="A12" s="4" t="s">
        <v>588</v>
      </c>
      <c r="B12" s="9" t="s">
        <v>589</v>
      </c>
      <c r="C12" s="5">
        <v>155</v>
      </c>
      <c r="D12" s="9">
        <v>173.29</v>
      </c>
      <c r="E12" s="9">
        <v>169.8</v>
      </c>
      <c r="F12" s="9">
        <v>170.1</v>
      </c>
      <c r="G12" s="9">
        <v>0</v>
      </c>
      <c r="H12" s="9" t="s">
        <v>0</v>
      </c>
      <c r="I12" s="9">
        <v>2</v>
      </c>
      <c r="J12" s="9">
        <v>7</v>
      </c>
      <c r="K12" s="12">
        <v>0.74019999999999997</v>
      </c>
      <c r="L12">
        <f t="shared" ref="L12:L75" si="0">(E12+F12)/2</f>
        <v>169.95</v>
      </c>
    </row>
    <row r="13" spans="1:12" ht="26.25" thickBot="1">
      <c r="A13" s="4" t="s">
        <v>590</v>
      </c>
      <c r="B13" s="9" t="s">
        <v>591</v>
      </c>
      <c r="C13" s="5">
        <v>160</v>
      </c>
      <c r="D13" s="9">
        <v>164.65</v>
      </c>
      <c r="E13" s="9">
        <v>164.85</v>
      </c>
      <c r="F13" s="9">
        <v>165.2</v>
      </c>
      <c r="G13" s="13">
        <v>-14.1</v>
      </c>
      <c r="H13" s="14">
        <v>-7.8899999999999998E-2</v>
      </c>
      <c r="I13" s="9">
        <v>1</v>
      </c>
      <c r="J13" s="9">
        <v>2</v>
      </c>
      <c r="K13" s="12">
        <v>0.75980000000000003</v>
      </c>
      <c r="L13">
        <f t="shared" si="0"/>
        <v>165.02499999999998</v>
      </c>
    </row>
    <row r="14" spans="1:12" ht="26.25" thickBot="1">
      <c r="A14" s="4" t="s">
        <v>592</v>
      </c>
      <c r="B14" s="9" t="s">
        <v>589</v>
      </c>
      <c r="C14" s="5">
        <v>165</v>
      </c>
      <c r="D14" s="9">
        <v>163.36000000000001</v>
      </c>
      <c r="E14" s="9">
        <v>159.94999999999999</v>
      </c>
      <c r="F14" s="9">
        <v>160.35</v>
      </c>
      <c r="G14" s="9">
        <v>0</v>
      </c>
      <c r="H14" s="9" t="s">
        <v>0</v>
      </c>
      <c r="I14" s="9">
        <v>2</v>
      </c>
      <c r="J14" s="9">
        <v>3</v>
      </c>
      <c r="K14" s="12">
        <v>0.78269999999999995</v>
      </c>
      <c r="L14">
        <f t="shared" si="0"/>
        <v>160.14999999999998</v>
      </c>
    </row>
    <row r="15" spans="1:12" ht="26.25" thickBot="1">
      <c r="A15" s="4" t="s">
        <v>593</v>
      </c>
      <c r="B15" s="9" t="s">
        <v>594</v>
      </c>
      <c r="C15" s="5">
        <v>170</v>
      </c>
      <c r="D15" s="9">
        <v>161.4</v>
      </c>
      <c r="E15" s="9">
        <v>154.9</v>
      </c>
      <c r="F15" s="9">
        <v>155.25</v>
      </c>
      <c r="G15" s="9">
        <v>0</v>
      </c>
      <c r="H15" s="9" t="s">
        <v>0</v>
      </c>
      <c r="I15" s="9">
        <v>1</v>
      </c>
      <c r="J15" s="9">
        <v>4</v>
      </c>
      <c r="K15" s="12">
        <v>0.72270000000000001</v>
      </c>
      <c r="L15">
        <f t="shared" si="0"/>
        <v>155.07499999999999</v>
      </c>
    </row>
    <row r="16" spans="1:12" ht="26.25" thickBot="1">
      <c r="A16" s="4" t="s">
        <v>595</v>
      </c>
      <c r="B16" s="9" t="s">
        <v>596</v>
      </c>
      <c r="C16" s="5">
        <v>175</v>
      </c>
      <c r="D16" s="9">
        <v>153.1</v>
      </c>
      <c r="E16" s="9">
        <v>149.9</v>
      </c>
      <c r="F16" s="9">
        <v>150.25</v>
      </c>
      <c r="G16" s="9">
        <v>0</v>
      </c>
      <c r="H16" s="9" t="s">
        <v>0</v>
      </c>
      <c r="I16" s="9">
        <v>2</v>
      </c>
      <c r="J16" s="9">
        <v>8</v>
      </c>
      <c r="K16" s="12">
        <v>0.69340000000000002</v>
      </c>
      <c r="L16">
        <f t="shared" si="0"/>
        <v>150.07499999999999</v>
      </c>
    </row>
    <row r="17" spans="1:12" ht="26.25" thickBot="1">
      <c r="A17" s="4" t="s">
        <v>597</v>
      </c>
      <c r="B17" s="9" t="s">
        <v>598</v>
      </c>
      <c r="C17" s="5">
        <v>180</v>
      </c>
      <c r="D17" s="9">
        <v>150.30000000000001</v>
      </c>
      <c r="E17" s="9">
        <v>144.94999999999999</v>
      </c>
      <c r="F17" s="9">
        <v>145.30000000000001</v>
      </c>
      <c r="G17" s="9">
        <v>0</v>
      </c>
      <c r="H17" s="9" t="s">
        <v>0</v>
      </c>
      <c r="I17" s="9">
        <v>2</v>
      </c>
      <c r="J17" s="9">
        <v>5</v>
      </c>
      <c r="K17" s="12">
        <v>0.68259999999999998</v>
      </c>
      <c r="L17">
        <f t="shared" si="0"/>
        <v>145.125</v>
      </c>
    </row>
    <row r="18" spans="1:12" ht="26.25" thickBot="1">
      <c r="A18" s="4" t="s">
        <v>599</v>
      </c>
      <c r="B18" s="9" t="s">
        <v>600</v>
      </c>
      <c r="C18" s="5">
        <v>185</v>
      </c>
      <c r="D18" s="9">
        <v>142.04</v>
      </c>
      <c r="E18" s="9">
        <v>140.05000000000001</v>
      </c>
      <c r="F18" s="9">
        <v>140.30000000000001</v>
      </c>
      <c r="G18" s="9">
        <v>0</v>
      </c>
      <c r="H18" s="9" t="s">
        <v>0</v>
      </c>
      <c r="I18" s="9">
        <v>1</v>
      </c>
      <c r="J18" s="9">
        <v>3</v>
      </c>
      <c r="K18" s="12">
        <v>0.66890000000000005</v>
      </c>
      <c r="L18">
        <f t="shared" si="0"/>
        <v>140.17500000000001</v>
      </c>
    </row>
    <row r="19" spans="1:12" ht="26.25" thickBot="1">
      <c r="A19" s="4" t="s">
        <v>601</v>
      </c>
      <c r="B19" s="9" t="s">
        <v>602</v>
      </c>
      <c r="C19" s="5">
        <v>190</v>
      </c>
      <c r="D19" s="9">
        <v>136.5</v>
      </c>
      <c r="E19" s="9">
        <v>135</v>
      </c>
      <c r="F19" s="9">
        <v>135.35</v>
      </c>
      <c r="G19" s="9">
        <v>0</v>
      </c>
      <c r="H19" s="9" t="s">
        <v>0</v>
      </c>
      <c r="I19" s="9">
        <v>5</v>
      </c>
      <c r="J19" s="9">
        <v>4</v>
      </c>
      <c r="K19" s="12">
        <v>0.64059999999999995</v>
      </c>
      <c r="L19">
        <f t="shared" si="0"/>
        <v>135.17500000000001</v>
      </c>
    </row>
    <row r="20" spans="1:12" ht="26.25" thickBot="1">
      <c r="A20" s="4" t="s">
        <v>603</v>
      </c>
      <c r="B20" s="9" t="s">
        <v>604</v>
      </c>
      <c r="C20" s="5">
        <v>195</v>
      </c>
      <c r="D20" s="9">
        <v>134.85</v>
      </c>
      <c r="E20" s="9">
        <v>130.05000000000001</v>
      </c>
      <c r="F20" s="9">
        <v>130.44999999999999</v>
      </c>
      <c r="G20" s="9">
        <v>0</v>
      </c>
      <c r="H20" s="9" t="s">
        <v>0</v>
      </c>
      <c r="I20" s="9">
        <v>2</v>
      </c>
      <c r="J20" s="9">
        <v>18</v>
      </c>
      <c r="K20" s="12">
        <v>0.63139999999999996</v>
      </c>
      <c r="L20">
        <f t="shared" si="0"/>
        <v>130.25</v>
      </c>
    </row>
    <row r="21" spans="1:12" ht="26.25" thickBot="1">
      <c r="A21" s="4" t="s">
        <v>605</v>
      </c>
      <c r="B21" s="9" t="s">
        <v>606</v>
      </c>
      <c r="C21" s="5">
        <v>200</v>
      </c>
      <c r="D21" s="9">
        <v>123</v>
      </c>
      <c r="E21" s="9">
        <v>125.1</v>
      </c>
      <c r="F21" s="9">
        <v>125.55</v>
      </c>
      <c r="G21" s="9">
        <v>0</v>
      </c>
      <c r="H21" s="9" t="s">
        <v>0</v>
      </c>
      <c r="I21" s="9">
        <v>2</v>
      </c>
      <c r="J21" s="9">
        <v>57</v>
      </c>
      <c r="K21" s="12">
        <v>0.61960000000000004</v>
      </c>
      <c r="L21">
        <f t="shared" si="0"/>
        <v>125.32499999999999</v>
      </c>
    </row>
    <row r="22" spans="1:12" ht="26.25" thickBot="1">
      <c r="A22" s="4" t="s">
        <v>607</v>
      </c>
      <c r="B22" s="9" t="s">
        <v>608</v>
      </c>
      <c r="C22" s="5">
        <v>205</v>
      </c>
      <c r="D22" s="9">
        <v>124.74</v>
      </c>
      <c r="E22" s="9">
        <v>120.15</v>
      </c>
      <c r="F22" s="9">
        <v>120.55</v>
      </c>
      <c r="G22" s="9">
        <v>0</v>
      </c>
      <c r="H22" s="9" t="s">
        <v>0</v>
      </c>
      <c r="I22" s="9">
        <v>3</v>
      </c>
      <c r="J22" s="9">
        <v>19</v>
      </c>
      <c r="K22" s="12">
        <v>0.59670000000000001</v>
      </c>
      <c r="L22">
        <f t="shared" si="0"/>
        <v>120.35</v>
      </c>
    </row>
    <row r="23" spans="1:12" ht="26.25" thickBot="1">
      <c r="A23" s="4" t="s">
        <v>609</v>
      </c>
      <c r="B23" s="9" t="s">
        <v>610</v>
      </c>
      <c r="C23" s="5">
        <v>210</v>
      </c>
      <c r="D23" s="9">
        <v>120.05</v>
      </c>
      <c r="E23" s="9">
        <v>115.2</v>
      </c>
      <c r="F23" s="9">
        <v>115.6</v>
      </c>
      <c r="G23" s="9">
        <v>0</v>
      </c>
      <c r="H23" s="9" t="s">
        <v>0</v>
      </c>
      <c r="I23" s="9">
        <v>1</v>
      </c>
      <c r="J23" s="9">
        <v>38</v>
      </c>
      <c r="K23" s="12">
        <v>0.57789999999999997</v>
      </c>
      <c r="L23">
        <f t="shared" si="0"/>
        <v>115.4</v>
      </c>
    </row>
    <row r="24" spans="1:12" ht="26.25" thickBot="1">
      <c r="A24" s="4" t="s">
        <v>611</v>
      </c>
      <c r="B24" s="9" t="s">
        <v>612</v>
      </c>
      <c r="C24" s="5">
        <v>215</v>
      </c>
      <c r="D24" s="9">
        <v>125.83</v>
      </c>
      <c r="E24" s="9">
        <v>110.3</v>
      </c>
      <c r="F24" s="9">
        <v>110.6</v>
      </c>
      <c r="G24" s="9">
        <v>0</v>
      </c>
      <c r="H24" s="9" t="s">
        <v>0</v>
      </c>
      <c r="I24" s="9">
        <v>5</v>
      </c>
      <c r="J24" s="9">
        <v>33</v>
      </c>
      <c r="K24" s="12">
        <v>0.55859999999999999</v>
      </c>
      <c r="L24">
        <f t="shared" si="0"/>
        <v>110.44999999999999</v>
      </c>
    </row>
    <row r="25" spans="1:12" ht="26.25" thickBot="1">
      <c r="A25" s="4" t="s">
        <v>613</v>
      </c>
      <c r="B25" s="9" t="s">
        <v>614</v>
      </c>
      <c r="C25" s="5">
        <v>220</v>
      </c>
      <c r="D25" s="9">
        <v>105.05</v>
      </c>
      <c r="E25" s="9">
        <v>105.4</v>
      </c>
      <c r="F25" s="9">
        <v>105.75</v>
      </c>
      <c r="G25" s="9">
        <v>0</v>
      </c>
      <c r="H25" s="9" t="s">
        <v>0</v>
      </c>
      <c r="I25" s="9">
        <v>9</v>
      </c>
      <c r="J25" s="9">
        <v>110</v>
      </c>
      <c r="K25" s="12">
        <v>0.54930000000000001</v>
      </c>
      <c r="L25">
        <f t="shared" si="0"/>
        <v>105.575</v>
      </c>
    </row>
    <row r="26" spans="1:12" ht="26.25" thickBot="1">
      <c r="A26" s="4" t="s">
        <v>615</v>
      </c>
      <c r="B26" s="9" t="s">
        <v>616</v>
      </c>
      <c r="C26" s="5">
        <v>225</v>
      </c>
      <c r="D26" s="9">
        <v>113.8</v>
      </c>
      <c r="E26" s="9">
        <v>100.4</v>
      </c>
      <c r="F26" s="9">
        <v>100.75</v>
      </c>
      <c r="G26" s="9">
        <v>0</v>
      </c>
      <c r="H26" s="9" t="s">
        <v>0</v>
      </c>
      <c r="I26" s="9">
        <v>2</v>
      </c>
      <c r="J26" s="9">
        <v>19</v>
      </c>
      <c r="K26" s="12">
        <v>0.52200000000000002</v>
      </c>
      <c r="L26">
        <f t="shared" si="0"/>
        <v>100.575</v>
      </c>
    </row>
    <row r="27" spans="1:12" ht="26.25" thickBot="1">
      <c r="A27" s="4" t="s">
        <v>617</v>
      </c>
      <c r="B27" s="9" t="s">
        <v>618</v>
      </c>
      <c r="C27" s="5">
        <v>230</v>
      </c>
      <c r="D27" s="9">
        <v>93.5</v>
      </c>
      <c r="E27" s="9">
        <v>95.55</v>
      </c>
      <c r="F27" s="9">
        <v>95.9</v>
      </c>
      <c r="G27" s="9">
        <v>0</v>
      </c>
      <c r="H27" s="9" t="s">
        <v>0</v>
      </c>
      <c r="I27" s="9">
        <v>5</v>
      </c>
      <c r="J27" s="9">
        <v>248</v>
      </c>
      <c r="K27" s="12">
        <v>0.51270000000000004</v>
      </c>
      <c r="L27">
        <f t="shared" si="0"/>
        <v>95.724999999999994</v>
      </c>
    </row>
    <row r="28" spans="1:12" ht="26.25" thickBot="1">
      <c r="A28" s="4" t="s">
        <v>619</v>
      </c>
      <c r="B28" s="9" t="s">
        <v>620</v>
      </c>
      <c r="C28" s="5">
        <v>235</v>
      </c>
      <c r="D28" s="9">
        <v>91.25</v>
      </c>
      <c r="E28" s="9">
        <v>90.65</v>
      </c>
      <c r="F28" s="9">
        <v>91.1</v>
      </c>
      <c r="G28" s="10">
        <v>0.71</v>
      </c>
      <c r="H28" s="11">
        <v>7.7999999999999996E-3</v>
      </c>
      <c r="I28" s="9">
        <v>3</v>
      </c>
      <c r="J28" s="9">
        <v>7</v>
      </c>
      <c r="K28" s="12">
        <v>0.50090000000000001</v>
      </c>
      <c r="L28">
        <f t="shared" si="0"/>
        <v>90.875</v>
      </c>
    </row>
    <row r="29" spans="1:12" ht="26.25" thickBot="1">
      <c r="A29" s="4" t="s">
        <v>621</v>
      </c>
      <c r="B29" s="9" t="s">
        <v>622</v>
      </c>
      <c r="C29" s="5">
        <v>240</v>
      </c>
      <c r="D29" s="9">
        <v>85.6</v>
      </c>
      <c r="E29" s="9">
        <v>85.75</v>
      </c>
      <c r="F29" s="9">
        <v>86.1</v>
      </c>
      <c r="G29" s="13">
        <v>-0.6</v>
      </c>
      <c r="H29" s="14">
        <v>-7.0000000000000001E-3</v>
      </c>
      <c r="I29" s="9">
        <v>1</v>
      </c>
      <c r="J29" s="9">
        <v>444</v>
      </c>
      <c r="K29" s="12">
        <v>0.49340000000000001</v>
      </c>
      <c r="L29">
        <f t="shared" si="0"/>
        <v>85.924999999999997</v>
      </c>
    </row>
    <row r="30" spans="1:12" ht="26.25" thickBot="1">
      <c r="A30" s="4" t="s">
        <v>623</v>
      </c>
      <c r="B30" s="9" t="s">
        <v>620</v>
      </c>
      <c r="C30" s="5">
        <v>245</v>
      </c>
      <c r="D30" s="9">
        <v>81.55</v>
      </c>
      <c r="E30" s="9">
        <v>81</v>
      </c>
      <c r="F30" s="9">
        <v>81.349999999999994</v>
      </c>
      <c r="G30" s="13">
        <v>-15.04</v>
      </c>
      <c r="H30" s="14">
        <v>-0.15570000000000001</v>
      </c>
      <c r="I30" s="9">
        <v>7</v>
      </c>
      <c r="J30" s="9">
        <v>247</v>
      </c>
      <c r="K30" s="12">
        <v>0.48470000000000002</v>
      </c>
      <c r="L30">
        <f t="shared" si="0"/>
        <v>81.174999999999997</v>
      </c>
    </row>
    <row r="31" spans="1:12" ht="26.25" thickBot="1">
      <c r="A31" s="4" t="s">
        <v>624</v>
      </c>
      <c r="B31" s="9" t="s">
        <v>625</v>
      </c>
      <c r="C31" s="5">
        <v>250</v>
      </c>
      <c r="D31" s="9">
        <v>75.14</v>
      </c>
      <c r="E31" s="9">
        <v>76.2</v>
      </c>
      <c r="F31" s="9">
        <v>76.55</v>
      </c>
      <c r="G31" s="13">
        <v>-0.11</v>
      </c>
      <c r="H31" s="14">
        <v>-1.5E-3</v>
      </c>
      <c r="I31" s="9">
        <v>2</v>
      </c>
      <c r="J31" s="9">
        <v>304</v>
      </c>
      <c r="K31" s="12">
        <v>0.47010000000000002</v>
      </c>
      <c r="L31">
        <f t="shared" si="0"/>
        <v>76.375</v>
      </c>
    </row>
    <row r="32" spans="1:12" ht="26.25" thickBot="1">
      <c r="A32" s="4" t="s">
        <v>626</v>
      </c>
      <c r="B32" s="9" t="s">
        <v>627</v>
      </c>
      <c r="C32" s="5">
        <v>255</v>
      </c>
      <c r="D32" s="9">
        <v>80.400000000000006</v>
      </c>
      <c r="E32" s="9">
        <v>71.400000000000006</v>
      </c>
      <c r="F32" s="9">
        <v>71.75</v>
      </c>
      <c r="G32" s="9">
        <v>0</v>
      </c>
      <c r="H32" s="9" t="s">
        <v>0</v>
      </c>
      <c r="I32" s="9">
        <v>4</v>
      </c>
      <c r="J32" s="9">
        <v>33</v>
      </c>
      <c r="K32" s="12">
        <v>0.45390000000000003</v>
      </c>
      <c r="L32">
        <f t="shared" si="0"/>
        <v>71.575000000000003</v>
      </c>
    </row>
    <row r="33" spans="1:12" ht="26.25" thickBot="1">
      <c r="A33" s="4" t="s">
        <v>628</v>
      </c>
      <c r="B33" s="9" t="s">
        <v>629</v>
      </c>
      <c r="C33" s="5">
        <v>260</v>
      </c>
      <c r="D33" s="9">
        <v>64.61</v>
      </c>
      <c r="E33" s="9">
        <v>66.650000000000006</v>
      </c>
      <c r="F33" s="9">
        <v>67</v>
      </c>
      <c r="G33" s="10">
        <v>0.11</v>
      </c>
      <c r="H33" s="11">
        <v>1.6999999999999999E-3</v>
      </c>
      <c r="I33" s="9">
        <v>3</v>
      </c>
      <c r="J33" s="9">
        <v>45</v>
      </c>
      <c r="K33" s="12">
        <v>0.43909999999999999</v>
      </c>
      <c r="L33">
        <f t="shared" si="0"/>
        <v>66.825000000000003</v>
      </c>
    </row>
    <row r="34" spans="1:12" ht="26.25" thickBot="1">
      <c r="A34" s="4" t="s">
        <v>630</v>
      </c>
      <c r="B34" s="9" t="s">
        <v>631</v>
      </c>
      <c r="C34" s="5">
        <v>265</v>
      </c>
      <c r="D34" s="9">
        <v>60</v>
      </c>
      <c r="E34" s="9">
        <v>62.05</v>
      </c>
      <c r="F34" s="9">
        <v>62.35</v>
      </c>
      <c r="G34" s="9">
        <v>0</v>
      </c>
      <c r="H34" s="9" t="s">
        <v>0</v>
      </c>
      <c r="I34" s="9">
        <v>2</v>
      </c>
      <c r="J34" s="9">
        <v>56</v>
      </c>
      <c r="K34" s="12">
        <v>0.4274</v>
      </c>
      <c r="L34">
        <f t="shared" si="0"/>
        <v>62.2</v>
      </c>
    </row>
    <row r="35" spans="1:12" ht="26.25" thickBot="1">
      <c r="A35" s="4" t="s">
        <v>632</v>
      </c>
      <c r="B35" s="9" t="s">
        <v>633</v>
      </c>
      <c r="C35" s="5">
        <v>270</v>
      </c>
      <c r="D35" s="9">
        <v>59.2</v>
      </c>
      <c r="E35" s="9">
        <v>57.5</v>
      </c>
      <c r="F35" s="9">
        <v>57.8</v>
      </c>
      <c r="G35" s="10">
        <v>4.3099999999999996</v>
      </c>
      <c r="H35" s="11">
        <v>7.85E-2</v>
      </c>
      <c r="I35" s="9">
        <v>2</v>
      </c>
      <c r="J35" s="9">
        <v>370</v>
      </c>
      <c r="K35" s="12">
        <v>0.41770000000000002</v>
      </c>
      <c r="L35">
        <f t="shared" si="0"/>
        <v>57.65</v>
      </c>
    </row>
    <row r="36" spans="1:12" ht="26.25" thickBot="1">
      <c r="A36" s="4" t="s">
        <v>634</v>
      </c>
      <c r="B36" s="9" t="s">
        <v>635</v>
      </c>
      <c r="C36" s="5">
        <v>275</v>
      </c>
      <c r="D36" s="9">
        <v>53</v>
      </c>
      <c r="E36" s="9">
        <v>53</v>
      </c>
      <c r="F36" s="9">
        <v>53.3</v>
      </c>
      <c r="G36" s="10">
        <v>2.5499999999999998</v>
      </c>
      <c r="H36" s="11">
        <v>5.0500000000000003E-2</v>
      </c>
      <c r="I36" s="9">
        <v>7</v>
      </c>
      <c r="J36" s="9">
        <v>196</v>
      </c>
      <c r="K36" s="12">
        <v>0.40720000000000001</v>
      </c>
      <c r="L36">
        <f t="shared" si="0"/>
        <v>53.15</v>
      </c>
    </row>
    <row r="37" spans="1:12" ht="26.25" thickBot="1">
      <c r="A37" s="4" t="s">
        <v>636</v>
      </c>
      <c r="B37" s="9" t="s">
        <v>637</v>
      </c>
      <c r="C37" s="5">
        <v>280</v>
      </c>
      <c r="D37" s="9">
        <v>49</v>
      </c>
      <c r="E37" s="9">
        <v>48.6</v>
      </c>
      <c r="F37" s="9">
        <v>49</v>
      </c>
      <c r="G37" s="10">
        <v>2.23</v>
      </c>
      <c r="H37" s="11">
        <v>4.7699999999999999E-2</v>
      </c>
      <c r="I37" s="9">
        <v>2</v>
      </c>
      <c r="J37" s="9">
        <v>254</v>
      </c>
      <c r="K37" s="12">
        <v>0.40089999999999998</v>
      </c>
      <c r="L37">
        <f t="shared" si="0"/>
        <v>48.8</v>
      </c>
    </row>
    <row r="38" spans="1:12" ht="26.25" thickBot="1">
      <c r="A38" s="4" t="s">
        <v>638</v>
      </c>
      <c r="B38" s="9" t="s">
        <v>639</v>
      </c>
      <c r="C38" s="5">
        <v>285</v>
      </c>
      <c r="D38" s="9">
        <v>42.95</v>
      </c>
      <c r="E38" s="9">
        <v>44.35</v>
      </c>
      <c r="F38" s="9">
        <v>44.65</v>
      </c>
      <c r="G38" s="9">
        <v>0</v>
      </c>
      <c r="H38" s="9" t="s">
        <v>0</v>
      </c>
      <c r="I38" s="9">
        <v>70</v>
      </c>
      <c r="J38" s="15">
        <v>1051</v>
      </c>
      <c r="K38" s="12">
        <v>0.38940000000000002</v>
      </c>
      <c r="L38">
        <f t="shared" si="0"/>
        <v>44.5</v>
      </c>
    </row>
    <row r="39" spans="1:12" ht="26.25" thickBot="1">
      <c r="A39" s="4" t="s">
        <v>640</v>
      </c>
      <c r="B39" s="9" t="s">
        <v>641</v>
      </c>
      <c r="C39" s="5">
        <v>290</v>
      </c>
      <c r="D39" s="9">
        <v>40.729999999999997</v>
      </c>
      <c r="E39" s="9">
        <v>40.25</v>
      </c>
      <c r="F39" s="9">
        <v>40.5</v>
      </c>
      <c r="G39" s="10">
        <v>0.51</v>
      </c>
      <c r="H39" s="11">
        <v>1.2699999999999999E-2</v>
      </c>
      <c r="I39" s="9">
        <v>19</v>
      </c>
      <c r="J39" s="15">
        <v>1035</v>
      </c>
      <c r="K39" s="12">
        <v>0.38090000000000002</v>
      </c>
      <c r="L39">
        <f t="shared" si="0"/>
        <v>40.375</v>
      </c>
    </row>
    <row r="40" spans="1:12" ht="26.25" thickBot="1">
      <c r="A40" s="4" t="s">
        <v>642</v>
      </c>
      <c r="B40" s="9" t="s">
        <v>643</v>
      </c>
      <c r="C40" s="5">
        <v>295</v>
      </c>
      <c r="D40" s="9">
        <v>37.799999999999997</v>
      </c>
      <c r="E40" s="9">
        <v>36.299999999999997</v>
      </c>
      <c r="F40" s="9">
        <v>36.6</v>
      </c>
      <c r="G40" s="10">
        <v>3</v>
      </c>
      <c r="H40" s="11">
        <v>8.6199999999999999E-2</v>
      </c>
      <c r="I40" s="9">
        <v>22</v>
      </c>
      <c r="J40" s="9">
        <v>426</v>
      </c>
      <c r="K40" s="12">
        <v>0.37559999999999999</v>
      </c>
      <c r="L40">
        <f t="shared" si="0"/>
        <v>36.450000000000003</v>
      </c>
    </row>
    <row r="41" spans="1:12" ht="26.25" thickBot="1">
      <c r="A41" s="4" t="s">
        <v>644</v>
      </c>
      <c r="B41" s="9" t="s">
        <v>645</v>
      </c>
      <c r="C41" s="5">
        <v>300</v>
      </c>
      <c r="D41" s="9">
        <v>33.200000000000003</v>
      </c>
      <c r="E41" s="9">
        <v>32.5</v>
      </c>
      <c r="F41" s="9">
        <v>32.75</v>
      </c>
      <c r="G41" s="10">
        <v>0.45</v>
      </c>
      <c r="H41" s="11">
        <v>1.37E-2</v>
      </c>
      <c r="I41" s="9">
        <v>48</v>
      </c>
      <c r="J41" s="9">
        <v>941</v>
      </c>
      <c r="K41" s="12">
        <v>0.36759999999999998</v>
      </c>
      <c r="L41">
        <f t="shared" si="0"/>
        <v>32.625</v>
      </c>
    </row>
    <row r="42" spans="1:12" ht="26.25" thickBot="1">
      <c r="A42" s="4" t="s">
        <v>646</v>
      </c>
      <c r="B42" s="9" t="s">
        <v>647</v>
      </c>
      <c r="C42" s="5">
        <v>305</v>
      </c>
      <c r="D42" s="9">
        <v>29</v>
      </c>
      <c r="E42" s="9">
        <v>28.9</v>
      </c>
      <c r="F42" s="9">
        <v>29.15</v>
      </c>
      <c r="G42" s="10">
        <v>0.5</v>
      </c>
      <c r="H42" s="11">
        <v>1.7500000000000002E-2</v>
      </c>
      <c r="I42" s="9">
        <v>42</v>
      </c>
      <c r="J42" s="15">
        <v>2944</v>
      </c>
      <c r="K42" s="12">
        <v>0.36149999999999999</v>
      </c>
      <c r="L42">
        <f t="shared" si="0"/>
        <v>29.024999999999999</v>
      </c>
    </row>
    <row r="43" spans="1:12" ht="26.25" thickBot="1">
      <c r="A43" s="4" t="s">
        <v>648</v>
      </c>
      <c r="B43" s="9" t="s">
        <v>633</v>
      </c>
      <c r="C43" s="5">
        <v>310</v>
      </c>
      <c r="D43" s="9">
        <v>26.6</v>
      </c>
      <c r="E43" s="9">
        <v>25.65</v>
      </c>
      <c r="F43" s="9">
        <v>25.85</v>
      </c>
      <c r="G43" s="10">
        <v>0.98</v>
      </c>
      <c r="H43" s="11">
        <v>3.8300000000000001E-2</v>
      </c>
      <c r="I43" s="9">
        <v>84</v>
      </c>
      <c r="J43" s="9">
        <v>471</v>
      </c>
      <c r="K43" s="12">
        <v>0.35799999999999998</v>
      </c>
      <c r="L43">
        <f t="shared" si="0"/>
        <v>25.75</v>
      </c>
    </row>
    <row r="44" spans="1:12" ht="26.25" thickBot="1">
      <c r="A44" s="4" t="s">
        <v>649</v>
      </c>
      <c r="B44" s="9" t="s">
        <v>650</v>
      </c>
      <c r="C44" s="5">
        <v>315</v>
      </c>
      <c r="D44" s="9">
        <v>23.17</v>
      </c>
      <c r="E44" s="9">
        <v>22.45</v>
      </c>
      <c r="F44" s="9">
        <v>22.6</v>
      </c>
      <c r="G44" s="10">
        <v>1.75</v>
      </c>
      <c r="H44" s="11">
        <v>8.1699999999999995E-2</v>
      </c>
      <c r="I44" s="9">
        <v>224</v>
      </c>
      <c r="J44" s="9">
        <v>576</v>
      </c>
      <c r="K44" s="12">
        <v>0.35110000000000002</v>
      </c>
      <c r="L44">
        <f t="shared" si="0"/>
        <v>22.524999999999999</v>
      </c>
    </row>
    <row r="45" spans="1:12" ht="26.25" thickBot="1">
      <c r="A45" s="4" t="s">
        <v>651</v>
      </c>
      <c r="B45" s="9" t="s">
        <v>652</v>
      </c>
      <c r="C45" s="5">
        <v>320</v>
      </c>
      <c r="D45" s="9">
        <v>19.600000000000001</v>
      </c>
      <c r="E45" s="9">
        <v>19.55</v>
      </c>
      <c r="F45" s="9">
        <v>19.75</v>
      </c>
      <c r="G45" s="13">
        <v>-0.4</v>
      </c>
      <c r="H45" s="14">
        <v>-0.02</v>
      </c>
      <c r="I45" s="9">
        <v>495</v>
      </c>
      <c r="J45" s="15">
        <v>2613</v>
      </c>
      <c r="K45" s="12">
        <v>0.34820000000000001</v>
      </c>
      <c r="L45">
        <f t="shared" si="0"/>
        <v>19.649999999999999</v>
      </c>
    </row>
    <row r="46" spans="1:12" ht="26.25" thickBot="1">
      <c r="A46" s="16" t="s">
        <v>653</v>
      </c>
      <c r="B46" s="17" t="s">
        <v>652</v>
      </c>
      <c r="C46" s="18">
        <v>325</v>
      </c>
      <c r="D46" s="17">
        <v>17</v>
      </c>
      <c r="E46" s="17">
        <v>17</v>
      </c>
      <c r="F46" s="17">
        <v>17.100000000000001</v>
      </c>
      <c r="G46" s="23">
        <v>-0.61</v>
      </c>
      <c r="H46" s="24">
        <v>-3.4599999999999999E-2</v>
      </c>
      <c r="I46" s="17">
        <v>848</v>
      </c>
      <c r="J46" s="21">
        <v>6974</v>
      </c>
      <c r="K46" s="22">
        <v>0.34460000000000002</v>
      </c>
      <c r="L46">
        <f t="shared" si="0"/>
        <v>17.05</v>
      </c>
    </row>
    <row r="47" spans="1:12" ht="26.25" thickBot="1">
      <c r="A47" s="16" t="s">
        <v>654</v>
      </c>
      <c r="B47" s="17" t="s">
        <v>655</v>
      </c>
      <c r="C47" s="18">
        <v>330</v>
      </c>
      <c r="D47" s="17">
        <v>14.7</v>
      </c>
      <c r="E47" s="17">
        <v>14.55</v>
      </c>
      <c r="F47" s="17">
        <v>14.7</v>
      </c>
      <c r="G47" s="23">
        <v>-0.1</v>
      </c>
      <c r="H47" s="24">
        <v>-6.7999999999999996E-3</v>
      </c>
      <c r="I47" s="17">
        <v>906</v>
      </c>
      <c r="J47" s="21">
        <v>20320</v>
      </c>
      <c r="K47" s="22">
        <v>0.34160000000000001</v>
      </c>
      <c r="L47">
        <f t="shared" si="0"/>
        <v>14.625</v>
      </c>
    </row>
    <row r="48" spans="1:12" ht="26.25" thickBot="1">
      <c r="A48" s="16" t="s">
        <v>656</v>
      </c>
      <c r="B48" s="17" t="s">
        <v>657</v>
      </c>
      <c r="C48" s="18">
        <v>335</v>
      </c>
      <c r="D48" s="17">
        <v>12.5</v>
      </c>
      <c r="E48" s="17">
        <v>12.4</v>
      </c>
      <c r="F48" s="17">
        <v>12.55</v>
      </c>
      <c r="G48" s="23">
        <v>-0.15</v>
      </c>
      <c r="H48" s="24">
        <v>-1.1900000000000001E-2</v>
      </c>
      <c r="I48" s="17">
        <v>277</v>
      </c>
      <c r="J48" s="21">
        <v>8268</v>
      </c>
      <c r="K48" s="22">
        <v>0.33889999999999998</v>
      </c>
      <c r="L48">
        <f t="shared" si="0"/>
        <v>12.475000000000001</v>
      </c>
    </row>
    <row r="49" spans="1:12" ht="26.25" thickBot="1">
      <c r="A49" s="16" t="s">
        <v>658</v>
      </c>
      <c r="B49" s="17" t="s">
        <v>659</v>
      </c>
      <c r="C49" s="18">
        <v>340</v>
      </c>
      <c r="D49" s="17">
        <v>10.65</v>
      </c>
      <c r="E49" s="17">
        <v>10.5</v>
      </c>
      <c r="F49" s="17">
        <v>10.65</v>
      </c>
      <c r="G49" s="23">
        <v>-0.1</v>
      </c>
      <c r="H49" s="24">
        <v>-9.2999999999999992E-3</v>
      </c>
      <c r="I49" s="17">
        <v>415</v>
      </c>
      <c r="J49" s="21">
        <v>9682</v>
      </c>
      <c r="K49" s="22">
        <v>0.33689999999999998</v>
      </c>
      <c r="L49">
        <f t="shared" si="0"/>
        <v>10.574999999999999</v>
      </c>
    </row>
    <row r="50" spans="1:12" ht="26.25" thickBot="1">
      <c r="A50" s="16" t="s">
        <v>660</v>
      </c>
      <c r="B50" s="17" t="s">
        <v>661</v>
      </c>
      <c r="C50" s="18">
        <v>345</v>
      </c>
      <c r="D50" s="17">
        <v>8.8699999999999992</v>
      </c>
      <c r="E50" s="17">
        <v>8.8000000000000007</v>
      </c>
      <c r="F50" s="17">
        <v>8.9499999999999993</v>
      </c>
      <c r="G50" s="23">
        <v>-0.23</v>
      </c>
      <c r="H50" s="24">
        <v>-2.53E-2</v>
      </c>
      <c r="I50" s="17">
        <v>420</v>
      </c>
      <c r="J50" s="21">
        <v>9881</v>
      </c>
      <c r="K50" s="22">
        <v>0.33450000000000002</v>
      </c>
      <c r="L50">
        <f t="shared" si="0"/>
        <v>8.875</v>
      </c>
    </row>
    <row r="51" spans="1:12" ht="26.25" thickBot="1">
      <c r="A51" s="16" t="s">
        <v>662</v>
      </c>
      <c r="B51" s="17" t="s">
        <v>661</v>
      </c>
      <c r="C51" s="18">
        <v>350</v>
      </c>
      <c r="D51" s="17">
        <v>7.45</v>
      </c>
      <c r="E51" s="17">
        <v>7.4</v>
      </c>
      <c r="F51" s="17">
        <v>7.5</v>
      </c>
      <c r="G51" s="23">
        <v>-0.2</v>
      </c>
      <c r="H51" s="24">
        <v>-2.6100000000000002E-2</v>
      </c>
      <c r="I51" s="21">
        <v>1917</v>
      </c>
      <c r="J51" s="21">
        <v>17416</v>
      </c>
      <c r="K51" s="22">
        <v>0.3332</v>
      </c>
      <c r="L51">
        <f t="shared" si="0"/>
        <v>7.45</v>
      </c>
    </row>
    <row r="52" spans="1:12" ht="26.25" thickBot="1">
      <c r="A52" s="16" t="s">
        <v>663</v>
      </c>
      <c r="B52" s="17" t="s">
        <v>664</v>
      </c>
      <c r="C52" s="18">
        <v>355</v>
      </c>
      <c r="D52" s="17">
        <v>6.21</v>
      </c>
      <c r="E52" s="17">
        <v>6.15</v>
      </c>
      <c r="F52" s="17">
        <v>6.3</v>
      </c>
      <c r="G52" s="23">
        <v>-0.3</v>
      </c>
      <c r="H52" s="24">
        <v>-4.6100000000000002E-2</v>
      </c>
      <c r="I52" s="17">
        <v>193</v>
      </c>
      <c r="J52" s="21">
        <v>2962</v>
      </c>
      <c r="K52" s="22">
        <v>0.33339999999999997</v>
      </c>
      <c r="L52">
        <f t="shared" si="0"/>
        <v>6.2249999999999996</v>
      </c>
    </row>
    <row r="53" spans="1:12" ht="26.25" thickBot="1">
      <c r="A53" s="16" t="s">
        <v>665</v>
      </c>
      <c r="B53" s="17" t="s">
        <v>652</v>
      </c>
      <c r="C53" s="18">
        <v>360</v>
      </c>
      <c r="D53" s="17">
        <v>5.2</v>
      </c>
      <c r="E53" s="17">
        <v>5.15</v>
      </c>
      <c r="F53" s="17">
        <v>5.25</v>
      </c>
      <c r="G53" s="23">
        <v>-0.1</v>
      </c>
      <c r="H53" s="24">
        <v>-1.89E-2</v>
      </c>
      <c r="I53" s="17">
        <v>431</v>
      </c>
      <c r="J53" s="21">
        <v>8044</v>
      </c>
      <c r="K53" s="22">
        <v>0.3332</v>
      </c>
      <c r="L53">
        <f t="shared" si="0"/>
        <v>5.2</v>
      </c>
    </row>
    <row r="54" spans="1:12" ht="26.25" thickBot="1">
      <c r="A54" s="16" t="s">
        <v>666</v>
      </c>
      <c r="B54" s="17" t="s">
        <v>647</v>
      </c>
      <c r="C54" s="18">
        <v>365</v>
      </c>
      <c r="D54" s="17">
        <v>4.3499999999999996</v>
      </c>
      <c r="E54" s="17">
        <v>4.3</v>
      </c>
      <c r="F54" s="17">
        <v>4.4000000000000004</v>
      </c>
      <c r="G54" s="23">
        <v>-0.05</v>
      </c>
      <c r="H54" s="24">
        <v>-1.14E-2</v>
      </c>
      <c r="I54" s="17">
        <v>357</v>
      </c>
      <c r="J54" s="21">
        <v>7199</v>
      </c>
      <c r="K54" s="22">
        <v>0.33450000000000002</v>
      </c>
      <c r="L54">
        <f t="shared" si="0"/>
        <v>4.3499999999999996</v>
      </c>
    </row>
    <row r="55" spans="1:12" ht="26.25" thickBot="1">
      <c r="A55" s="16" t="s">
        <v>667</v>
      </c>
      <c r="B55" s="17" t="s">
        <v>661</v>
      </c>
      <c r="C55" s="18">
        <v>370</v>
      </c>
      <c r="D55" s="17">
        <v>3.58</v>
      </c>
      <c r="E55" s="17">
        <v>3.55</v>
      </c>
      <c r="F55" s="17">
        <v>3.65</v>
      </c>
      <c r="G55" s="23">
        <v>-0.27</v>
      </c>
      <c r="H55" s="24">
        <v>-7.0099999999999996E-2</v>
      </c>
      <c r="I55" s="21">
        <v>1290</v>
      </c>
      <c r="J55" s="21">
        <v>8693</v>
      </c>
      <c r="K55" s="22">
        <v>0.33500000000000002</v>
      </c>
      <c r="L55">
        <f t="shared" si="0"/>
        <v>3.5999999999999996</v>
      </c>
    </row>
    <row r="56" spans="1:12" ht="26.25" thickBot="1">
      <c r="A56" s="16" t="s">
        <v>668</v>
      </c>
      <c r="B56" s="17" t="s">
        <v>657</v>
      </c>
      <c r="C56" s="18">
        <v>375</v>
      </c>
      <c r="D56" s="17">
        <v>3</v>
      </c>
      <c r="E56" s="17">
        <v>2.95</v>
      </c>
      <c r="F56" s="17">
        <v>3</v>
      </c>
      <c r="G56" s="23">
        <v>-0.13</v>
      </c>
      <c r="H56" s="24">
        <v>-4.1500000000000002E-2</v>
      </c>
      <c r="I56" s="17">
        <v>250</v>
      </c>
      <c r="J56" s="21">
        <v>6754</v>
      </c>
      <c r="K56" s="22">
        <v>0.33510000000000001</v>
      </c>
      <c r="L56">
        <f t="shared" si="0"/>
        <v>2.9750000000000001</v>
      </c>
    </row>
    <row r="57" spans="1:12" ht="26.25" thickBot="1">
      <c r="A57" s="16" t="s">
        <v>669</v>
      </c>
      <c r="B57" s="17" t="s">
        <v>670</v>
      </c>
      <c r="C57" s="18">
        <v>380</v>
      </c>
      <c r="D57" s="17">
        <v>2.52</v>
      </c>
      <c r="E57" s="17">
        <v>2.46</v>
      </c>
      <c r="F57" s="17">
        <v>2.5299999999999998</v>
      </c>
      <c r="G57" s="23">
        <v>-0.04</v>
      </c>
      <c r="H57" s="24">
        <v>-1.5599999999999999E-2</v>
      </c>
      <c r="I57" s="17">
        <v>515</v>
      </c>
      <c r="J57" s="21">
        <v>3718</v>
      </c>
      <c r="K57" s="22">
        <v>0.33810000000000001</v>
      </c>
      <c r="L57">
        <f t="shared" si="0"/>
        <v>2.4950000000000001</v>
      </c>
    </row>
    <row r="58" spans="1:12" ht="26.25" thickBot="1">
      <c r="A58" s="16" t="s">
        <v>671</v>
      </c>
      <c r="B58" s="17" t="s">
        <v>672</v>
      </c>
      <c r="C58" s="18">
        <v>385</v>
      </c>
      <c r="D58" s="17">
        <v>2.1</v>
      </c>
      <c r="E58" s="17">
        <v>2.06</v>
      </c>
      <c r="F58" s="17">
        <v>2.12</v>
      </c>
      <c r="G58" s="19">
        <v>0.08</v>
      </c>
      <c r="H58" s="20">
        <v>3.9600000000000003E-2</v>
      </c>
      <c r="I58" s="17">
        <v>167</v>
      </c>
      <c r="J58" s="21">
        <v>1583</v>
      </c>
      <c r="K58" s="22">
        <v>0.34050000000000002</v>
      </c>
      <c r="L58">
        <f t="shared" si="0"/>
        <v>2.09</v>
      </c>
    </row>
    <row r="59" spans="1:12" ht="26.25" thickBot="1">
      <c r="A59" s="16" t="s">
        <v>673</v>
      </c>
      <c r="B59" s="17" t="s">
        <v>647</v>
      </c>
      <c r="C59" s="18">
        <v>390</v>
      </c>
      <c r="D59" s="17">
        <v>1.75</v>
      </c>
      <c r="E59" s="17">
        <v>1.73</v>
      </c>
      <c r="F59" s="17">
        <v>1.77</v>
      </c>
      <c r="G59" s="17">
        <v>0</v>
      </c>
      <c r="H59" s="17" t="s">
        <v>0</v>
      </c>
      <c r="I59" s="17">
        <v>363</v>
      </c>
      <c r="J59" s="21">
        <v>7895</v>
      </c>
      <c r="K59" s="22">
        <v>0.3427</v>
      </c>
      <c r="L59">
        <f t="shared" si="0"/>
        <v>1.75</v>
      </c>
    </row>
    <row r="60" spans="1:12" ht="26.25" thickBot="1">
      <c r="A60" s="16" t="s">
        <v>674</v>
      </c>
      <c r="B60" s="17" t="s">
        <v>675</v>
      </c>
      <c r="C60" s="18">
        <v>395</v>
      </c>
      <c r="D60" s="17">
        <v>1.49</v>
      </c>
      <c r="E60" s="17">
        <v>1.45</v>
      </c>
      <c r="F60" s="17">
        <v>1.5</v>
      </c>
      <c r="G60" s="19">
        <v>0.06</v>
      </c>
      <c r="H60" s="20">
        <v>4.2000000000000003E-2</v>
      </c>
      <c r="I60" s="17">
        <v>67</v>
      </c>
      <c r="J60" s="21">
        <v>1122</v>
      </c>
      <c r="K60" s="22">
        <v>0.34620000000000001</v>
      </c>
      <c r="L60">
        <f t="shared" si="0"/>
        <v>1.4750000000000001</v>
      </c>
    </row>
    <row r="61" spans="1:12" ht="26.25" thickBot="1">
      <c r="A61" s="16" t="s">
        <v>676</v>
      </c>
      <c r="B61" s="17" t="s">
        <v>647</v>
      </c>
      <c r="C61" s="18">
        <v>400</v>
      </c>
      <c r="D61" s="17">
        <v>1.26</v>
      </c>
      <c r="E61" s="17">
        <v>1.22</v>
      </c>
      <c r="F61" s="17">
        <v>1.27</v>
      </c>
      <c r="G61" s="23">
        <v>-0.04</v>
      </c>
      <c r="H61" s="24">
        <v>-3.0800000000000001E-2</v>
      </c>
      <c r="I61" s="17">
        <v>304</v>
      </c>
      <c r="J61" s="21">
        <v>3164</v>
      </c>
      <c r="K61" s="22">
        <v>0.34949999999999998</v>
      </c>
      <c r="L61">
        <f t="shared" si="0"/>
        <v>1.2450000000000001</v>
      </c>
    </row>
    <row r="62" spans="1:12" ht="26.25" thickBot="1">
      <c r="A62" s="16" t="s">
        <v>677</v>
      </c>
      <c r="B62" s="17" t="s">
        <v>678</v>
      </c>
      <c r="C62" s="18">
        <v>405</v>
      </c>
      <c r="D62" s="17">
        <v>1.07</v>
      </c>
      <c r="E62" s="17">
        <v>1.04</v>
      </c>
      <c r="F62" s="17">
        <v>1.08</v>
      </c>
      <c r="G62" s="19">
        <v>0.02</v>
      </c>
      <c r="H62" s="20">
        <v>1.9E-2</v>
      </c>
      <c r="I62" s="17">
        <v>93</v>
      </c>
      <c r="J62" s="21">
        <v>1062</v>
      </c>
      <c r="K62" s="22">
        <v>0.35299999999999998</v>
      </c>
      <c r="L62">
        <f t="shared" si="0"/>
        <v>1.06</v>
      </c>
    </row>
    <row r="63" spans="1:12" ht="26.25" thickBot="1">
      <c r="A63" s="16" t="s">
        <v>679</v>
      </c>
      <c r="B63" s="17" t="s">
        <v>680</v>
      </c>
      <c r="C63" s="18">
        <v>410</v>
      </c>
      <c r="D63" s="17">
        <v>0.9</v>
      </c>
      <c r="E63" s="17">
        <v>0.89</v>
      </c>
      <c r="F63" s="17">
        <v>0.93</v>
      </c>
      <c r="G63" s="23">
        <v>-0.01</v>
      </c>
      <c r="H63" s="24">
        <v>-1.0999999999999999E-2</v>
      </c>
      <c r="I63" s="17">
        <v>31</v>
      </c>
      <c r="J63" s="17">
        <v>951</v>
      </c>
      <c r="K63" s="22">
        <v>0.35730000000000001</v>
      </c>
      <c r="L63">
        <f t="shared" si="0"/>
        <v>0.91</v>
      </c>
    </row>
    <row r="64" spans="1:12" ht="26.25" thickBot="1">
      <c r="A64" s="16" t="s">
        <v>681</v>
      </c>
      <c r="B64" s="17" t="s">
        <v>614</v>
      </c>
      <c r="C64" s="18">
        <v>415</v>
      </c>
      <c r="D64" s="17">
        <v>0.67</v>
      </c>
      <c r="E64" s="17">
        <v>0.76</v>
      </c>
      <c r="F64" s="17">
        <v>0.79</v>
      </c>
      <c r="G64" s="23">
        <v>-0.12</v>
      </c>
      <c r="H64" s="24">
        <v>-0.15190000000000001</v>
      </c>
      <c r="I64" s="17">
        <v>2</v>
      </c>
      <c r="J64" s="17">
        <v>97</v>
      </c>
      <c r="K64" s="22">
        <v>0.36049999999999999</v>
      </c>
      <c r="L64">
        <f t="shared" si="0"/>
        <v>0.77500000000000002</v>
      </c>
    </row>
    <row r="65" spans="1:12" ht="26.25" thickBot="1">
      <c r="A65" s="16" t="s">
        <v>682</v>
      </c>
      <c r="B65" s="17" t="s">
        <v>683</v>
      </c>
      <c r="C65" s="18">
        <v>420</v>
      </c>
      <c r="D65" s="17">
        <v>0.67</v>
      </c>
      <c r="E65" s="17">
        <v>0.65</v>
      </c>
      <c r="F65" s="17">
        <v>0.68</v>
      </c>
      <c r="G65" s="19">
        <v>0.02</v>
      </c>
      <c r="H65" s="20">
        <v>3.0800000000000001E-2</v>
      </c>
      <c r="I65" s="17">
        <v>54</v>
      </c>
      <c r="J65" s="21">
        <v>4550</v>
      </c>
      <c r="K65" s="22">
        <v>0.36449999999999999</v>
      </c>
      <c r="L65">
        <f t="shared" si="0"/>
        <v>0.66500000000000004</v>
      </c>
    </row>
    <row r="66" spans="1:12" ht="26.25" thickBot="1">
      <c r="A66" s="16" t="s">
        <v>684</v>
      </c>
      <c r="B66" s="17" t="s">
        <v>685</v>
      </c>
      <c r="C66" s="18">
        <v>425</v>
      </c>
      <c r="D66" s="17">
        <v>0.52</v>
      </c>
      <c r="E66" s="17">
        <v>0.56000000000000005</v>
      </c>
      <c r="F66" s="17">
        <v>0.59</v>
      </c>
      <c r="G66" s="23">
        <v>-0.04</v>
      </c>
      <c r="H66" s="24">
        <v>-7.1400000000000005E-2</v>
      </c>
      <c r="I66" s="17">
        <v>1</v>
      </c>
      <c r="J66" s="17">
        <v>201</v>
      </c>
      <c r="K66" s="22">
        <v>0.36870000000000003</v>
      </c>
      <c r="L66">
        <f t="shared" si="0"/>
        <v>0.57499999999999996</v>
      </c>
    </row>
    <row r="67" spans="1:12" ht="26.25" thickBot="1">
      <c r="A67" s="16" t="s">
        <v>686</v>
      </c>
      <c r="B67" s="17" t="s">
        <v>687</v>
      </c>
      <c r="C67" s="18">
        <v>430</v>
      </c>
      <c r="D67" s="17">
        <v>0.48</v>
      </c>
      <c r="E67" s="17">
        <v>0.48</v>
      </c>
      <c r="F67" s="17">
        <v>0.51</v>
      </c>
      <c r="G67" s="23">
        <v>-0.01</v>
      </c>
      <c r="H67" s="24">
        <v>-2.0400000000000001E-2</v>
      </c>
      <c r="I67" s="17">
        <v>9</v>
      </c>
      <c r="J67" s="21">
        <v>1659</v>
      </c>
      <c r="K67" s="22">
        <v>0.37259999999999999</v>
      </c>
      <c r="L67">
        <f t="shared" si="0"/>
        <v>0.495</v>
      </c>
    </row>
    <row r="68" spans="1:12" ht="26.25" thickBot="1">
      <c r="A68" s="16" t="s">
        <v>688</v>
      </c>
      <c r="B68" s="17" t="s">
        <v>689</v>
      </c>
      <c r="C68" s="18">
        <v>435</v>
      </c>
      <c r="D68" s="17">
        <v>0.43</v>
      </c>
      <c r="E68" s="17">
        <v>0.42</v>
      </c>
      <c r="F68" s="17">
        <v>0.45</v>
      </c>
      <c r="G68" s="19">
        <v>0.01</v>
      </c>
      <c r="H68" s="20">
        <v>2.3800000000000002E-2</v>
      </c>
      <c r="I68" s="17">
        <v>4</v>
      </c>
      <c r="J68" s="17">
        <v>88</v>
      </c>
      <c r="K68" s="22">
        <v>0.37740000000000001</v>
      </c>
      <c r="L68">
        <f t="shared" si="0"/>
        <v>0.435</v>
      </c>
    </row>
    <row r="69" spans="1:12" ht="26.25" thickBot="1">
      <c r="A69" s="16" t="s">
        <v>690</v>
      </c>
      <c r="B69" s="17" t="s">
        <v>687</v>
      </c>
      <c r="C69" s="18">
        <v>440</v>
      </c>
      <c r="D69" s="17">
        <v>0.35</v>
      </c>
      <c r="E69" s="17">
        <v>0.37</v>
      </c>
      <c r="F69" s="17">
        <v>0.38</v>
      </c>
      <c r="G69" s="23">
        <v>-0.03</v>
      </c>
      <c r="H69" s="24">
        <v>-7.8899999999999998E-2</v>
      </c>
      <c r="I69" s="17">
        <v>4</v>
      </c>
      <c r="J69" s="17">
        <v>773</v>
      </c>
      <c r="K69" s="22">
        <v>0.37990000000000002</v>
      </c>
      <c r="L69">
        <f t="shared" si="0"/>
        <v>0.375</v>
      </c>
    </row>
    <row r="70" spans="1:12" ht="26.25" thickBot="1">
      <c r="A70" s="16" t="s">
        <v>691</v>
      </c>
      <c r="B70" s="17" t="s">
        <v>692</v>
      </c>
      <c r="C70" s="18">
        <v>445</v>
      </c>
      <c r="D70" s="17">
        <v>0.28000000000000003</v>
      </c>
      <c r="E70" s="17">
        <v>0.32</v>
      </c>
      <c r="F70" s="17">
        <v>0.35</v>
      </c>
      <c r="G70" s="23">
        <v>-0.16</v>
      </c>
      <c r="H70" s="24">
        <v>-0.36359999999999998</v>
      </c>
      <c r="I70" s="17">
        <v>3</v>
      </c>
      <c r="J70" s="17">
        <v>70</v>
      </c>
      <c r="K70" s="22">
        <v>0.38669999999999999</v>
      </c>
      <c r="L70">
        <f t="shared" si="0"/>
        <v>0.33499999999999996</v>
      </c>
    </row>
    <row r="71" spans="1:12" ht="26.25" thickBot="1">
      <c r="A71" s="16" t="s">
        <v>693</v>
      </c>
      <c r="B71" s="17" t="s">
        <v>694</v>
      </c>
      <c r="C71" s="18">
        <v>450</v>
      </c>
      <c r="D71" s="17">
        <v>0.27</v>
      </c>
      <c r="E71" s="17">
        <v>0.28000000000000003</v>
      </c>
      <c r="F71" s="17">
        <v>0.3</v>
      </c>
      <c r="G71" s="23">
        <v>-0.02</v>
      </c>
      <c r="H71" s="24">
        <v>-6.9000000000000006E-2</v>
      </c>
      <c r="I71" s="17">
        <v>21</v>
      </c>
      <c r="J71" s="17">
        <v>924</v>
      </c>
      <c r="K71" s="22">
        <v>0.38969999999999999</v>
      </c>
      <c r="L71">
        <f t="shared" si="0"/>
        <v>0.29000000000000004</v>
      </c>
    </row>
    <row r="72" spans="1:12" ht="26.25" thickBot="1">
      <c r="A72" s="16" t="s">
        <v>695</v>
      </c>
      <c r="B72" s="17" t="s">
        <v>696</v>
      </c>
      <c r="C72" s="18">
        <v>455</v>
      </c>
      <c r="D72" s="17">
        <v>0.27</v>
      </c>
      <c r="E72" s="17">
        <v>0.25</v>
      </c>
      <c r="F72" s="17">
        <v>0.26</v>
      </c>
      <c r="G72" s="17">
        <v>0</v>
      </c>
      <c r="H72" s="17" t="s">
        <v>0</v>
      </c>
      <c r="I72" s="17">
        <v>2</v>
      </c>
      <c r="J72" s="17">
        <v>330</v>
      </c>
      <c r="K72" s="22">
        <v>0.39279999999999998</v>
      </c>
      <c r="L72">
        <f t="shared" si="0"/>
        <v>0.255</v>
      </c>
    </row>
    <row r="73" spans="1:12" ht="26.25" thickBot="1">
      <c r="A73" s="16" t="s">
        <v>697</v>
      </c>
      <c r="B73" s="17" t="s">
        <v>698</v>
      </c>
      <c r="C73" s="18">
        <v>460</v>
      </c>
      <c r="D73" s="17">
        <v>0.23</v>
      </c>
      <c r="E73" s="17">
        <v>0.22</v>
      </c>
      <c r="F73" s="17">
        <v>0.24</v>
      </c>
      <c r="G73" s="23">
        <v>-0.01</v>
      </c>
      <c r="H73" s="24">
        <v>-4.1700000000000001E-2</v>
      </c>
      <c r="I73" s="17">
        <v>1</v>
      </c>
      <c r="J73" s="21">
        <v>1084</v>
      </c>
      <c r="K73" s="22">
        <v>0.39939999999999998</v>
      </c>
      <c r="L73">
        <f t="shared" si="0"/>
        <v>0.22999999999999998</v>
      </c>
    </row>
    <row r="74" spans="1:12" ht="26.25" thickBot="1">
      <c r="A74" s="16" t="s">
        <v>699</v>
      </c>
      <c r="B74" s="17" t="s">
        <v>700</v>
      </c>
      <c r="C74" s="18">
        <v>465</v>
      </c>
      <c r="D74" s="17">
        <v>0.19</v>
      </c>
      <c r="E74" s="17">
        <v>0.2</v>
      </c>
      <c r="F74" s="17">
        <v>0.21</v>
      </c>
      <c r="G74" s="17">
        <v>0</v>
      </c>
      <c r="H74" s="17" t="s">
        <v>0</v>
      </c>
      <c r="I74" s="17">
        <v>14</v>
      </c>
      <c r="J74" s="17">
        <v>17</v>
      </c>
      <c r="K74" s="22">
        <v>0.40279999999999999</v>
      </c>
      <c r="L74">
        <f t="shared" si="0"/>
        <v>0.20500000000000002</v>
      </c>
    </row>
    <row r="75" spans="1:12" ht="26.25" thickBot="1">
      <c r="A75" s="16" t="s">
        <v>701</v>
      </c>
      <c r="B75" s="17" t="s">
        <v>702</v>
      </c>
      <c r="C75" s="18">
        <v>470</v>
      </c>
      <c r="D75" s="17">
        <v>0.16</v>
      </c>
      <c r="E75" s="17">
        <v>0.18</v>
      </c>
      <c r="F75" s="17">
        <v>0.19</v>
      </c>
      <c r="G75" s="23">
        <v>-0.01</v>
      </c>
      <c r="H75" s="24">
        <v>-5.8799999999999998E-2</v>
      </c>
      <c r="I75" s="17">
        <v>8</v>
      </c>
      <c r="J75" s="17">
        <v>439</v>
      </c>
      <c r="K75" s="22">
        <v>0.40770000000000001</v>
      </c>
      <c r="L75">
        <f t="shared" si="0"/>
        <v>0.185</v>
      </c>
    </row>
    <row r="76" spans="1:12" ht="26.25" thickBot="1">
      <c r="A76" s="16" t="s">
        <v>703</v>
      </c>
      <c r="B76" s="17" t="s">
        <v>704</v>
      </c>
      <c r="C76" s="18">
        <v>475</v>
      </c>
      <c r="D76" s="17">
        <v>0.16</v>
      </c>
      <c r="E76" s="17">
        <v>0.16</v>
      </c>
      <c r="F76" s="17">
        <v>0.17</v>
      </c>
      <c r="G76" s="17">
        <v>0</v>
      </c>
      <c r="H76" s="17" t="s">
        <v>0</v>
      </c>
      <c r="I76" s="17">
        <v>50</v>
      </c>
      <c r="J76" s="17">
        <v>50</v>
      </c>
      <c r="K76" s="22">
        <v>0.41210000000000002</v>
      </c>
      <c r="L76">
        <f t="shared" ref="L76:L91" si="1">(E76+F76)/2</f>
        <v>0.16500000000000001</v>
      </c>
    </row>
    <row r="77" spans="1:12" ht="26.25" thickBot="1">
      <c r="A77" s="16" t="s">
        <v>705</v>
      </c>
      <c r="B77" s="17" t="s">
        <v>706</v>
      </c>
      <c r="C77" s="18">
        <v>480</v>
      </c>
      <c r="D77" s="17">
        <v>0.12</v>
      </c>
      <c r="E77" s="17">
        <v>0.13</v>
      </c>
      <c r="F77" s="17">
        <v>0.14000000000000001</v>
      </c>
      <c r="G77" s="17">
        <v>0</v>
      </c>
      <c r="H77" s="17" t="s">
        <v>0</v>
      </c>
      <c r="I77" s="17">
        <v>10</v>
      </c>
      <c r="J77" s="17">
        <v>839</v>
      </c>
      <c r="K77" s="22">
        <v>0.41210000000000002</v>
      </c>
      <c r="L77">
        <f t="shared" si="1"/>
        <v>0.13500000000000001</v>
      </c>
    </row>
    <row r="78" spans="1:12" ht="26.25" thickBot="1">
      <c r="A78" s="16" t="s">
        <v>707</v>
      </c>
      <c r="B78" s="17" t="s">
        <v>708</v>
      </c>
      <c r="C78" s="18">
        <v>485</v>
      </c>
      <c r="D78" s="17">
        <v>0.12</v>
      </c>
      <c r="E78" s="17">
        <v>0.12</v>
      </c>
      <c r="F78" s="17">
        <v>0.13</v>
      </c>
      <c r="G78" s="17">
        <v>0</v>
      </c>
      <c r="H78" s="17" t="s">
        <v>0</v>
      </c>
      <c r="I78" s="17">
        <v>5</v>
      </c>
      <c r="J78" s="17">
        <v>6</v>
      </c>
      <c r="K78" s="22">
        <v>0.41799999999999998</v>
      </c>
      <c r="L78">
        <f t="shared" si="1"/>
        <v>0.125</v>
      </c>
    </row>
    <row r="79" spans="1:12" ht="26.25" thickBot="1">
      <c r="A79" s="16" t="s">
        <v>709</v>
      </c>
      <c r="B79" s="17" t="s">
        <v>710</v>
      </c>
      <c r="C79" s="18">
        <v>490</v>
      </c>
      <c r="D79" s="17">
        <v>0.1</v>
      </c>
      <c r="E79" s="17">
        <v>0.1</v>
      </c>
      <c r="F79" s="17">
        <v>0.12</v>
      </c>
      <c r="G79" s="23">
        <v>-0.01</v>
      </c>
      <c r="H79" s="24">
        <v>-9.0899999999999995E-2</v>
      </c>
      <c r="I79" s="17">
        <v>14</v>
      </c>
      <c r="J79" s="17">
        <v>911</v>
      </c>
      <c r="K79" s="22">
        <v>0.4229</v>
      </c>
      <c r="L79">
        <f t="shared" si="1"/>
        <v>0.11</v>
      </c>
    </row>
    <row r="80" spans="1:12" ht="26.25" thickBot="1">
      <c r="A80" s="16" t="s">
        <v>711</v>
      </c>
      <c r="B80" s="17" t="s">
        <v>712</v>
      </c>
      <c r="C80" s="18">
        <v>495</v>
      </c>
      <c r="D80" s="17">
        <v>0.09</v>
      </c>
      <c r="E80" s="17">
        <v>0.09</v>
      </c>
      <c r="F80" s="17">
        <v>0.11</v>
      </c>
      <c r="G80" s="17">
        <v>0</v>
      </c>
      <c r="H80" s="17" t="s">
        <v>0</v>
      </c>
      <c r="I80" s="17">
        <v>164</v>
      </c>
      <c r="J80" s="17">
        <v>137</v>
      </c>
      <c r="K80" s="22">
        <v>0.42770000000000002</v>
      </c>
      <c r="L80">
        <f t="shared" si="1"/>
        <v>0.1</v>
      </c>
    </row>
    <row r="81" spans="1:12" ht="26.25" thickBot="1">
      <c r="A81" s="16" t="s">
        <v>713</v>
      </c>
      <c r="B81" s="17" t="s">
        <v>710</v>
      </c>
      <c r="C81" s="18">
        <v>500</v>
      </c>
      <c r="D81" s="17">
        <v>0.08</v>
      </c>
      <c r="E81" s="17">
        <v>0.08</v>
      </c>
      <c r="F81" s="17">
        <v>0.1</v>
      </c>
      <c r="G81" s="23">
        <v>-0.03</v>
      </c>
      <c r="H81" s="24">
        <v>-0.2727</v>
      </c>
      <c r="I81" s="17">
        <v>15</v>
      </c>
      <c r="J81" s="17">
        <v>486</v>
      </c>
      <c r="K81" s="22">
        <v>0.43259999999999998</v>
      </c>
      <c r="L81">
        <f t="shared" si="1"/>
        <v>0.09</v>
      </c>
    </row>
    <row r="82" spans="1:12" ht="26.25" thickBot="1">
      <c r="A82" s="16" t="s">
        <v>714</v>
      </c>
      <c r="B82" s="17" t="s">
        <v>715</v>
      </c>
      <c r="C82" s="18">
        <v>505</v>
      </c>
      <c r="D82" s="17">
        <v>0.08</v>
      </c>
      <c r="E82" s="17">
        <v>0.08</v>
      </c>
      <c r="F82" s="17">
        <v>0.09</v>
      </c>
      <c r="G82" s="17">
        <v>0</v>
      </c>
      <c r="H82" s="17" t="s">
        <v>0</v>
      </c>
      <c r="I82" s="17">
        <v>1</v>
      </c>
      <c r="J82" s="17">
        <v>4</v>
      </c>
      <c r="K82" s="22">
        <v>0.4365</v>
      </c>
      <c r="L82">
        <f t="shared" si="1"/>
        <v>8.4999999999999992E-2</v>
      </c>
    </row>
    <row r="83" spans="1:12" ht="26.25" thickBot="1">
      <c r="A83" s="16" t="s">
        <v>716</v>
      </c>
      <c r="B83" s="17" t="s">
        <v>717</v>
      </c>
      <c r="C83" s="18">
        <v>510</v>
      </c>
      <c r="D83" s="17">
        <v>7.0000000000000007E-2</v>
      </c>
      <c r="E83" s="17">
        <v>7.0000000000000007E-2</v>
      </c>
      <c r="F83" s="17">
        <v>0.08</v>
      </c>
      <c r="G83" s="23">
        <v>-0.01</v>
      </c>
      <c r="H83" s="24">
        <v>-0.125</v>
      </c>
      <c r="I83" s="17">
        <v>1</v>
      </c>
      <c r="J83" s="17">
        <v>64</v>
      </c>
      <c r="K83" s="22">
        <v>0.4395</v>
      </c>
      <c r="L83">
        <f t="shared" si="1"/>
        <v>7.5000000000000011E-2</v>
      </c>
    </row>
    <row r="84" spans="1:12" ht="26.25" thickBot="1">
      <c r="A84" s="16" t="s">
        <v>718</v>
      </c>
      <c r="B84" s="17" t="s">
        <v>719</v>
      </c>
      <c r="C84" s="18">
        <v>515</v>
      </c>
      <c r="D84" s="17">
        <v>0.05</v>
      </c>
      <c r="E84" s="17">
        <v>0.06</v>
      </c>
      <c r="F84" s="17">
        <v>7.0000000000000007E-2</v>
      </c>
      <c r="G84" s="17">
        <v>0</v>
      </c>
      <c r="H84" s="17" t="s">
        <v>0</v>
      </c>
      <c r="I84" s="17">
        <v>5</v>
      </c>
      <c r="J84" s="17">
        <v>12</v>
      </c>
      <c r="K84" s="22">
        <v>0.44140000000000001</v>
      </c>
      <c r="L84">
        <f t="shared" si="1"/>
        <v>6.5000000000000002E-2</v>
      </c>
    </row>
    <row r="85" spans="1:12" ht="26.25" thickBot="1">
      <c r="A85" s="16" t="s">
        <v>720</v>
      </c>
      <c r="B85" s="17" t="s">
        <v>721</v>
      </c>
      <c r="C85" s="18">
        <v>520</v>
      </c>
      <c r="D85" s="17">
        <v>0.06</v>
      </c>
      <c r="E85" s="17">
        <v>0.05</v>
      </c>
      <c r="F85" s="17">
        <v>0.06</v>
      </c>
      <c r="G85" s="19">
        <v>0.01</v>
      </c>
      <c r="H85" s="20">
        <v>0.2</v>
      </c>
      <c r="I85" s="17">
        <v>21</v>
      </c>
      <c r="J85" s="17">
        <v>136</v>
      </c>
      <c r="K85" s="22">
        <v>0.44240000000000002</v>
      </c>
      <c r="L85">
        <f t="shared" si="1"/>
        <v>5.5E-2</v>
      </c>
    </row>
    <row r="86" spans="1:12" ht="26.25" thickBot="1">
      <c r="A86" s="16" t="s">
        <v>722</v>
      </c>
      <c r="B86" s="17" t="s">
        <v>723</v>
      </c>
      <c r="C86" s="18">
        <v>525</v>
      </c>
      <c r="D86" s="17">
        <v>0.05</v>
      </c>
      <c r="E86" s="17">
        <v>0.04</v>
      </c>
      <c r="F86" s="17">
        <v>0.06</v>
      </c>
      <c r="G86" s="17">
        <v>0</v>
      </c>
      <c r="H86" s="17" t="s">
        <v>0</v>
      </c>
      <c r="I86" s="17" t="s">
        <v>0</v>
      </c>
      <c r="J86" s="17">
        <v>1</v>
      </c>
      <c r="K86" s="22">
        <v>0.45119999999999999</v>
      </c>
      <c r="L86">
        <f t="shared" si="1"/>
        <v>0.05</v>
      </c>
    </row>
    <row r="87" spans="1:12" ht="26.25" thickBot="1">
      <c r="A87" s="16" t="s">
        <v>724</v>
      </c>
      <c r="B87" s="17" t="s">
        <v>725</v>
      </c>
      <c r="C87" s="18">
        <v>530</v>
      </c>
      <c r="D87" s="17">
        <v>0.06</v>
      </c>
      <c r="E87" s="17">
        <v>0.04</v>
      </c>
      <c r="F87" s="17">
        <v>0.05</v>
      </c>
      <c r="G87" s="17">
        <v>0</v>
      </c>
      <c r="H87" s="17" t="s">
        <v>0</v>
      </c>
      <c r="I87" s="17">
        <v>160</v>
      </c>
      <c r="J87" s="17">
        <v>203</v>
      </c>
      <c r="K87" s="22">
        <v>0.45119999999999999</v>
      </c>
      <c r="L87">
        <f t="shared" si="1"/>
        <v>4.4999999999999998E-2</v>
      </c>
    </row>
    <row r="88" spans="1:12" ht="26.25" thickBot="1">
      <c r="A88" s="16" t="s">
        <v>726</v>
      </c>
      <c r="B88" s="17" t="s">
        <v>727</v>
      </c>
      <c r="C88" s="18">
        <v>535</v>
      </c>
      <c r="D88" s="17">
        <v>0.04</v>
      </c>
      <c r="E88" s="17">
        <v>0.04</v>
      </c>
      <c r="F88" s="17">
        <v>0.05</v>
      </c>
      <c r="G88" s="17">
        <v>0</v>
      </c>
      <c r="H88" s="17" t="s">
        <v>0</v>
      </c>
      <c r="I88" s="17">
        <v>32</v>
      </c>
      <c r="J88" s="17">
        <v>35</v>
      </c>
      <c r="K88" s="22">
        <v>0.45800000000000002</v>
      </c>
      <c r="L88">
        <f t="shared" si="1"/>
        <v>4.4999999999999998E-2</v>
      </c>
    </row>
    <row r="89" spans="1:12" ht="26.25" thickBot="1">
      <c r="A89" s="16" t="s">
        <v>728</v>
      </c>
      <c r="B89" s="17" t="s">
        <v>729</v>
      </c>
      <c r="C89" s="18">
        <v>540</v>
      </c>
      <c r="D89" s="17">
        <v>0.04</v>
      </c>
      <c r="E89" s="17">
        <v>0.03</v>
      </c>
      <c r="F89" s="17">
        <v>0.05</v>
      </c>
      <c r="G89" s="17">
        <v>0</v>
      </c>
      <c r="H89" s="17" t="s">
        <v>0</v>
      </c>
      <c r="I89" s="17">
        <v>10</v>
      </c>
      <c r="J89" s="17">
        <v>49</v>
      </c>
      <c r="K89" s="22">
        <v>0.46479999999999999</v>
      </c>
      <c r="L89">
        <f t="shared" si="1"/>
        <v>0.04</v>
      </c>
    </row>
    <row r="90" spans="1:12" ht="26.25" thickBot="1">
      <c r="A90" s="16" t="s">
        <v>730</v>
      </c>
      <c r="B90" s="17" t="s">
        <v>731</v>
      </c>
      <c r="C90" s="18">
        <v>550</v>
      </c>
      <c r="D90" s="17">
        <v>0.02</v>
      </c>
      <c r="E90" s="17">
        <v>0.02</v>
      </c>
      <c r="F90" s="17">
        <v>0.04</v>
      </c>
      <c r="G90" s="17">
        <v>0</v>
      </c>
      <c r="H90" s="17" t="s">
        <v>0</v>
      </c>
      <c r="I90" s="17">
        <v>3</v>
      </c>
      <c r="J90" s="17">
        <v>444</v>
      </c>
      <c r="K90" s="22">
        <v>0.47070000000000001</v>
      </c>
      <c r="L90">
        <f t="shared" si="1"/>
        <v>0.03</v>
      </c>
    </row>
    <row r="91" spans="1:12" ht="25.5">
      <c r="A91" s="16" t="s">
        <v>732</v>
      </c>
      <c r="B91" s="17" t="s">
        <v>733</v>
      </c>
      <c r="C91" s="18">
        <v>560</v>
      </c>
      <c r="D91" s="17">
        <v>0.03</v>
      </c>
      <c r="E91" s="17">
        <v>0.02</v>
      </c>
      <c r="F91" s="17">
        <v>0.04</v>
      </c>
      <c r="G91" s="17">
        <v>0</v>
      </c>
      <c r="H91" s="17" t="s">
        <v>0</v>
      </c>
      <c r="I91" s="17">
        <v>41</v>
      </c>
      <c r="J91" s="17">
        <v>167</v>
      </c>
      <c r="K91" s="22">
        <v>0.4844</v>
      </c>
      <c r="L91">
        <f t="shared" si="1"/>
        <v>0.03</v>
      </c>
    </row>
    <row r="92" spans="1:12">
      <c r="A92" s="61" t="s">
        <v>734</v>
      </c>
    </row>
    <row r="93" spans="1:12" ht="18" thickBot="1">
      <c r="A93" s="62" t="s">
        <v>11</v>
      </c>
      <c r="B93" s="63" t="s">
        <v>2</v>
      </c>
      <c r="C93" s="64" t="s">
        <v>3</v>
      </c>
      <c r="D93" s="63" t="s">
        <v>4</v>
      </c>
      <c r="E93" s="63" t="s">
        <v>5</v>
      </c>
      <c r="F93" s="63" t="s">
        <v>6</v>
      </c>
      <c r="G93" s="63" t="s">
        <v>1</v>
      </c>
      <c r="H93" s="63" t="s">
        <v>7</v>
      </c>
      <c r="I93" s="63" t="s">
        <v>8</v>
      </c>
      <c r="J93" s="63" t="s">
        <v>9</v>
      </c>
      <c r="K93" s="63" t="s">
        <v>10</v>
      </c>
    </row>
    <row r="94" spans="1:12" ht="26.25" thickBot="1">
      <c r="A94" s="16" t="s">
        <v>735</v>
      </c>
      <c r="B94" s="17" t="s">
        <v>736</v>
      </c>
      <c r="C94" s="18">
        <v>150</v>
      </c>
      <c r="D94" s="17">
        <v>0.05</v>
      </c>
      <c r="E94" s="17">
        <v>0.03</v>
      </c>
      <c r="F94" s="17">
        <v>0.09</v>
      </c>
      <c r="G94" s="19">
        <v>0.03</v>
      </c>
      <c r="H94" s="20">
        <v>1.5</v>
      </c>
      <c r="I94" s="17">
        <v>2</v>
      </c>
      <c r="J94" s="17">
        <v>657</v>
      </c>
      <c r="K94" s="22">
        <v>0.73629999999999995</v>
      </c>
    </row>
    <row r="95" spans="1:12" ht="26.25" thickBot="1">
      <c r="A95" s="16" t="s">
        <v>737</v>
      </c>
      <c r="B95" s="17" t="s">
        <v>738</v>
      </c>
      <c r="C95" s="18">
        <v>155</v>
      </c>
      <c r="D95" s="17">
        <v>0.05</v>
      </c>
      <c r="E95" s="17">
        <v>0.04</v>
      </c>
      <c r="F95" s="17">
        <v>0.05</v>
      </c>
      <c r="G95" s="23">
        <v>-0.08</v>
      </c>
      <c r="H95" s="24">
        <v>-0.61539999999999995</v>
      </c>
      <c r="I95" s="17">
        <v>1</v>
      </c>
      <c r="J95" s="17">
        <v>886</v>
      </c>
      <c r="K95" s="22">
        <v>0.6875</v>
      </c>
    </row>
    <row r="96" spans="1:12" ht="26.25" thickBot="1">
      <c r="A96" s="16" t="s">
        <v>739</v>
      </c>
      <c r="B96" s="17" t="s">
        <v>740</v>
      </c>
      <c r="C96" s="18">
        <v>160</v>
      </c>
      <c r="D96" s="17">
        <v>0.05</v>
      </c>
      <c r="E96" s="17">
        <v>0.05</v>
      </c>
      <c r="F96" s="17">
        <v>0.06</v>
      </c>
      <c r="G96" s="17">
        <v>0</v>
      </c>
      <c r="H96" s="17" t="s">
        <v>0</v>
      </c>
      <c r="I96" s="17">
        <v>7</v>
      </c>
      <c r="J96" s="17">
        <v>368</v>
      </c>
      <c r="K96" s="22">
        <v>0.67190000000000005</v>
      </c>
    </row>
    <row r="97" spans="1:11" ht="26.25" thickBot="1">
      <c r="A97" s="16" t="s">
        <v>741</v>
      </c>
      <c r="B97" s="17" t="s">
        <v>742</v>
      </c>
      <c r="C97" s="18">
        <v>165</v>
      </c>
      <c r="D97" s="17">
        <v>0.06</v>
      </c>
      <c r="E97" s="17">
        <v>0.06</v>
      </c>
      <c r="F97" s="17">
        <v>7.0000000000000007E-2</v>
      </c>
      <c r="G97" s="23">
        <v>-0.14000000000000001</v>
      </c>
      <c r="H97" s="24">
        <v>-0.7</v>
      </c>
      <c r="I97" s="17">
        <v>9</v>
      </c>
      <c r="J97" s="17">
        <v>91</v>
      </c>
      <c r="K97" s="22">
        <v>0.65629999999999999</v>
      </c>
    </row>
    <row r="98" spans="1:11" ht="26.25" thickBot="1">
      <c r="A98" s="16" t="s">
        <v>743</v>
      </c>
      <c r="B98" s="17" t="s">
        <v>717</v>
      </c>
      <c r="C98" s="18">
        <v>170</v>
      </c>
      <c r="D98" s="17">
        <v>0.09</v>
      </c>
      <c r="E98" s="17">
        <v>0.08</v>
      </c>
      <c r="F98" s="17">
        <v>0.08</v>
      </c>
      <c r="G98" s="17">
        <v>0</v>
      </c>
      <c r="H98" s="17" t="s">
        <v>0</v>
      </c>
      <c r="I98" s="17">
        <v>125</v>
      </c>
      <c r="J98" s="17">
        <v>153</v>
      </c>
      <c r="K98" s="22">
        <v>0.64259999999999995</v>
      </c>
    </row>
    <row r="99" spans="1:11" ht="26.25" thickBot="1">
      <c r="A99" s="16" t="s">
        <v>744</v>
      </c>
      <c r="B99" s="17" t="s">
        <v>745</v>
      </c>
      <c r="C99" s="18">
        <v>175</v>
      </c>
      <c r="D99" s="17">
        <v>0.1</v>
      </c>
      <c r="E99" s="17">
        <v>0.09</v>
      </c>
      <c r="F99" s="17">
        <v>0.1</v>
      </c>
      <c r="G99" s="23">
        <v>-0.02</v>
      </c>
      <c r="H99" s="24">
        <v>-0.16669999999999999</v>
      </c>
      <c r="I99" s="17">
        <v>2</v>
      </c>
      <c r="J99" s="17">
        <v>513</v>
      </c>
      <c r="K99" s="22">
        <v>0.62790000000000001</v>
      </c>
    </row>
    <row r="100" spans="1:11" ht="26.25" thickBot="1">
      <c r="A100" s="16" t="s">
        <v>746</v>
      </c>
      <c r="B100" s="17" t="s">
        <v>747</v>
      </c>
      <c r="C100" s="18">
        <v>180</v>
      </c>
      <c r="D100" s="17">
        <v>0.12</v>
      </c>
      <c r="E100" s="17">
        <v>0.11</v>
      </c>
      <c r="F100" s="17">
        <v>0.12</v>
      </c>
      <c r="G100" s="17">
        <v>0</v>
      </c>
      <c r="H100" s="17" t="s">
        <v>0</v>
      </c>
      <c r="I100" s="17">
        <v>15</v>
      </c>
      <c r="J100" s="17">
        <v>168</v>
      </c>
      <c r="K100" s="22">
        <v>0.61519999999999997</v>
      </c>
    </row>
    <row r="101" spans="1:11" ht="26.25" thickBot="1">
      <c r="A101" s="16" t="s">
        <v>748</v>
      </c>
      <c r="B101" s="17" t="s">
        <v>749</v>
      </c>
      <c r="C101" s="18">
        <v>185</v>
      </c>
      <c r="D101" s="17">
        <v>0.12</v>
      </c>
      <c r="E101" s="17">
        <v>0.14000000000000001</v>
      </c>
      <c r="F101" s="17">
        <v>0.15</v>
      </c>
      <c r="G101" s="23">
        <v>-0.02</v>
      </c>
      <c r="H101" s="24">
        <v>-0.1429</v>
      </c>
      <c r="I101" s="17">
        <v>9</v>
      </c>
      <c r="J101" s="17">
        <v>614</v>
      </c>
      <c r="K101" s="22">
        <v>0.60450000000000004</v>
      </c>
    </row>
    <row r="102" spans="1:11" ht="26.25" thickBot="1">
      <c r="A102" s="16" t="s">
        <v>750</v>
      </c>
      <c r="B102" s="17" t="s">
        <v>751</v>
      </c>
      <c r="C102" s="18">
        <v>190</v>
      </c>
      <c r="D102" s="17">
        <v>0.13</v>
      </c>
      <c r="E102" s="17">
        <v>0.17</v>
      </c>
      <c r="F102" s="17">
        <v>0.18</v>
      </c>
      <c r="G102" s="17">
        <v>0</v>
      </c>
      <c r="H102" s="17" t="s">
        <v>0</v>
      </c>
      <c r="I102" s="17">
        <v>2</v>
      </c>
      <c r="J102" s="17">
        <v>681</v>
      </c>
      <c r="K102" s="22">
        <v>0.59179999999999999</v>
      </c>
    </row>
    <row r="103" spans="1:11" ht="26.25" thickBot="1">
      <c r="A103" s="16" t="s">
        <v>752</v>
      </c>
      <c r="B103" s="17" t="s">
        <v>751</v>
      </c>
      <c r="C103" s="18">
        <v>195</v>
      </c>
      <c r="D103" s="17">
        <v>0.15</v>
      </c>
      <c r="E103" s="17">
        <v>0.2</v>
      </c>
      <c r="F103" s="17">
        <v>0.21</v>
      </c>
      <c r="G103" s="17">
        <v>0</v>
      </c>
      <c r="H103" s="17" t="s">
        <v>0</v>
      </c>
      <c r="I103" s="17">
        <v>18</v>
      </c>
      <c r="J103" s="17">
        <v>196</v>
      </c>
      <c r="K103" s="22">
        <v>0.57720000000000005</v>
      </c>
    </row>
    <row r="104" spans="1:11" ht="26.25" thickBot="1">
      <c r="A104" s="16" t="s">
        <v>753</v>
      </c>
      <c r="B104" s="17" t="s">
        <v>754</v>
      </c>
      <c r="C104" s="18">
        <v>200</v>
      </c>
      <c r="D104" s="17">
        <v>0.24</v>
      </c>
      <c r="E104" s="17">
        <v>0.24</v>
      </c>
      <c r="F104" s="17">
        <v>0.25</v>
      </c>
      <c r="G104" s="23">
        <v>-0.02</v>
      </c>
      <c r="H104" s="24">
        <v>-7.6899999999999996E-2</v>
      </c>
      <c r="I104" s="17">
        <v>31</v>
      </c>
      <c r="J104" s="17">
        <v>907</v>
      </c>
      <c r="K104" s="22">
        <v>0.5645</v>
      </c>
    </row>
    <row r="105" spans="1:11" ht="26.25" thickBot="1">
      <c r="A105" s="16" t="s">
        <v>755</v>
      </c>
      <c r="B105" s="17" t="s">
        <v>756</v>
      </c>
      <c r="C105" s="18">
        <v>205</v>
      </c>
      <c r="D105" s="17">
        <v>0.31</v>
      </c>
      <c r="E105" s="17">
        <v>0.28999999999999998</v>
      </c>
      <c r="F105" s="17">
        <v>0.3</v>
      </c>
      <c r="G105" s="17">
        <v>0</v>
      </c>
      <c r="H105" s="17" t="s">
        <v>0</v>
      </c>
      <c r="I105" s="17">
        <v>2</v>
      </c>
      <c r="J105" s="17">
        <v>20</v>
      </c>
      <c r="K105" s="22">
        <v>0.55269999999999997</v>
      </c>
    </row>
    <row r="106" spans="1:11" ht="26.25" thickBot="1">
      <c r="A106" s="16" t="s">
        <v>757</v>
      </c>
      <c r="B106" s="17" t="s">
        <v>758</v>
      </c>
      <c r="C106" s="18">
        <v>210</v>
      </c>
      <c r="D106" s="17">
        <v>0.34</v>
      </c>
      <c r="E106" s="17">
        <v>0.34</v>
      </c>
      <c r="F106" s="17">
        <v>0.36</v>
      </c>
      <c r="G106" s="23">
        <v>-0.03</v>
      </c>
      <c r="H106" s="24">
        <v>-8.1100000000000005E-2</v>
      </c>
      <c r="I106" s="17">
        <v>4</v>
      </c>
      <c r="J106" s="17">
        <v>262</v>
      </c>
      <c r="K106" s="22">
        <v>0.54</v>
      </c>
    </row>
    <row r="107" spans="1:11" ht="26.25" thickBot="1">
      <c r="A107" s="16" t="s">
        <v>759</v>
      </c>
      <c r="B107" s="17" t="s">
        <v>760</v>
      </c>
      <c r="C107" s="18">
        <v>215</v>
      </c>
      <c r="D107" s="17">
        <v>0.42</v>
      </c>
      <c r="E107" s="17">
        <v>0.38</v>
      </c>
      <c r="F107" s="17">
        <v>0.42</v>
      </c>
      <c r="G107" s="19">
        <v>0.02</v>
      </c>
      <c r="H107" s="20">
        <v>0.05</v>
      </c>
      <c r="I107" s="17">
        <v>48</v>
      </c>
      <c r="J107" s="17">
        <v>402</v>
      </c>
      <c r="K107" s="22">
        <v>0.52490000000000003</v>
      </c>
    </row>
    <row r="108" spans="1:11" ht="26.25" thickBot="1">
      <c r="A108" s="16" t="s">
        <v>761</v>
      </c>
      <c r="B108" s="17" t="s">
        <v>754</v>
      </c>
      <c r="C108" s="18">
        <v>220</v>
      </c>
      <c r="D108" s="17">
        <v>0.46</v>
      </c>
      <c r="E108" s="17">
        <v>0.45</v>
      </c>
      <c r="F108" s="17">
        <v>0.48</v>
      </c>
      <c r="G108" s="23">
        <v>-0.04</v>
      </c>
      <c r="H108" s="24">
        <v>-0.08</v>
      </c>
      <c r="I108" s="17">
        <v>76</v>
      </c>
      <c r="J108" s="17">
        <v>320</v>
      </c>
      <c r="K108" s="22">
        <v>0.51100000000000001</v>
      </c>
    </row>
    <row r="109" spans="1:11" ht="26.25" thickBot="1">
      <c r="A109" s="16" t="s">
        <v>762</v>
      </c>
      <c r="B109" s="17" t="s">
        <v>655</v>
      </c>
      <c r="C109" s="18">
        <v>225</v>
      </c>
      <c r="D109" s="17">
        <v>0.54</v>
      </c>
      <c r="E109" s="17">
        <v>0.52</v>
      </c>
      <c r="F109" s="17">
        <v>0.59</v>
      </c>
      <c r="G109" s="23">
        <v>-0.06</v>
      </c>
      <c r="H109" s="24">
        <v>-0.1</v>
      </c>
      <c r="I109" s="17">
        <v>1</v>
      </c>
      <c r="J109" s="17">
        <v>602</v>
      </c>
      <c r="K109" s="22">
        <v>0.50460000000000005</v>
      </c>
    </row>
    <row r="110" spans="1:11" ht="26.25" thickBot="1">
      <c r="A110" s="16" t="s">
        <v>763</v>
      </c>
      <c r="B110" s="17" t="s">
        <v>764</v>
      </c>
      <c r="C110" s="18">
        <v>230</v>
      </c>
      <c r="D110" s="17">
        <v>0.61</v>
      </c>
      <c r="E110" s="17">
        <v>0.62</v>
      </c>
      <c r="F110" s="17">
        <v>0.68</v>
      </c>
      <c r="G110" s="23">
        <v>-0.04</v>
      </c>
      <c r="H110" s="24">
        <v>-6.1499999999999999E-2</v>
      </c>
      <c r="I110" s="17">
        <v>7</v>
      </c>
      <c r="J110" s="17">
        <v>415</v>
      </c>
      <c r="K110" s="22">
        <v>0.49049999999999999</v>
      </c>
    </row>
    <row r="111" spans="1:11" ht="26.25" thickBot="1">
      <c r="A111" s="16" t="s">
        <v>765</v>
      </c>
      <c r="B111" s="17" t="s">
        <v>643</v>
      </c>
      <c r="C111" s="18">
        <v>235</v>
      </c>
      <c r="D111" s="17">
        <v>0.75</v>
      </c>
      <c r="E111" s="17">
        <v>0.74</v>
      </c>
      <c r="F111" s="17">
        <v>0.8</v>
      </c>
      <c r="G111" s="23">
        <v>-0.01</v>
      </c>
      <c r="H111" s="24">
        <v>-1.32E-2</v>
      </c>
      <c r="I111" s="17">
        <v>11</v>
      </c>
      <c r="J111" s="17">
        <v>248</v>
      </c>
      <c r="K111" s="22">
        <v>0.4783</v>
      </c>
    </row>
    <row r="112" spans="1:11" ht="26.25" thickBot="1">
      <c r="A112" s="16" t="s">
        <v>766</v>
      </c>
      <c r="B112" s="17" t="s">
        <v>764</v>
      </c>
      <c r="C112" s="18">
        <v>240</v>
      </c>
      <c r="D112" s="17">
        <v>0.87</v>
      </c>
      <c r="E112" s="17">
        <v>0.87</v>
      </c>
      <c r="F112" s="17">
        <v>0.94</v>
      </c>
      <c r="G112" s="23">
        <v>-0.03</v>
      </c>
      <c r="H112" s="24">
        <v>-3.3300000000000003E-2</v>
      </c>
      <c r="I112" s="17">
        <v>21</v>
      </c>
      <c r="J112" s="17">
        <v>631</v>
      </c>
      <c r="K112" s="22">
        <v>0.46629999999999999</v>
      </c>
    </row>
    <row r="113" spans="1:11" ht="26.25" thickBot="1">
      <c r="A113" s="16" t="s">
        <v>767</v>
      </c>
      <c r="B113" s="17" t="s">
        <v>768</v>
      </c>
      <c r="C113" s="18">
        <v>245</v>
      </c>
      <c r="D113" s="17">
        <v>1.06</v>
      </c>
      <c r="E113" s="17">
        <v>1.05</v>
      </c>
      <c r="F113" s="17">
        <v>1.1200000000000001</v>
      </c>
      <c r="G113" s="23">
        <v>-0.01</v>
      </c>
      <c r="H113" s="24">
        <v>-9.2999999999999992E-3</v>
      </c>
      <c r="I113" s="17">
        <v>148</v>
      </c>
      <c r="J113" s="17">
        <v>483</v>
      </c>
      <c r="K113" s="22">
        <v>0.45569999999999999</v>
      </c>
    </row>
    <row r="114" spans="1:11" ht="26.25" thickBot="1">
      <c r="A114" s="16" t="s">
        <v>769</v>
      </c>
      <c r="B114" s="17" t="s">
        <v>770</v>
      </c>
      <c r="C114" s="18">
        <v>250</v>
      </c>
      <c r="D114" s="17">
        <v>1.26</v>
      </c>
      <c r="E114" s="17">
        <v>1.26</v>
      </c>
      <c r="F114" s="17">
        <v>1.3</v>
      </c>
      <c r="G114" s="23">
        <v>-0.09</v>
      </c>
      <c r="H114" s="24">
        <v>-6.6699999999999995E-2</v>
      </c>
      <c r="I114" s="17">
        <v>131</v>
      </c>
      <c r="J114" s="21">
        <v>4875</v>
      </c>
      <c r="K114" s="22">
        <v>0.44280000000000003</v>
      </c>
    </row>
    <row r="115" spans="1:11" ht="26.25" thickBot="1">
      <c r="A115" s="16" t="s">
        <v>771</v>
      </c>
      <c r="B115" s="17" t="s">
        <v>647</v>
      </c>
      <c r="C115" s="18">
        <v>255</v>
      </c>
      <c r="D115" s="17">
        <v>1.51</v>
      </c>
      <c r="E115" s="17">
        <v>1.49</v>
      </c>
      <c r="F115" s="17">
        <v>1.54</v>
      </c>
      <c r="G115" s="23">
        <v>-0.21</v>
      </c>
      <c r="H115" s="24">
        <v>-0.1221</v>
      </c>
      <c r="I115" s="17">
        <v>47</v>
      </c>
      <c r="J115" s="17">
        <v>313</v>
      </c>
      <c r="K115" s="22">
        <v>0.432</v>
      </c>
    </row>
    <row r="116" spans="1:11" ht="26.25" thickBot="1">
      <c r="A116" s="16" t="s">
        <v>772</v>
      </c>
      <c r="B116" s="17" t="s">
        <v>773</v>
      </c>
      <c r="C116" s="18">
        <v>260</v>
      </c>
      <c r="D116" s="17">
        <v>1.76</v>
      </c>
      <c r="E116" s="17">
        <v>1.77</v>
      </c>
      <c r="F116" s="17">
        <v>1.82</v>
      </c>
      <c r="G116" s="23">
        <v>-0.05</v>
      </c>
      <c r="H116" s="24">
        <v>-2.76E-2</v>
      </c>
      <c r="I116" s="17">
        <v>67</v>
      </c>
      <c r="J116" s="17">
        <v>775</v>
      </c>
      <c r="K116" s="22">
        <v>0.42109999999999997</v>
      </c>
    </row>
    <row r="117" spans="1:11" ht="26.25" thickBot="1">
      <c r="A117" s="16" t="s">
        <v>774</v>
      </c>
      <c r="B117" s="17" t="s">
        <v>647</v>
      </c>
      <c r="C117" s="18">
        <v>265</v>
      </c>
      <c r="D117" s="17">
        <v>2.13</v>
      </c>
      <c r="E117" s="17">
        <v>2.11</v>
      </c>
      <c r="F117" s="17">
        <v>2.1800000000000002</v>
      </c>
      <c r="G117" s="23">
        <v>-0.25</v>
      </c>
      <c r="H117" s="24">
        <v>-0.105</v>
      </c>
      <c r="I117" s="17">
        <v>118</v>
      </c>
      <c r="J117" s="17">
        <v>888</v>
      </c>
      <c r="K117" s="22">
        <v>0.41199999999999998</v>
      </c>
    </row>
    <row r="118" spans="1:11" ht="26.25" thickBot="1">
      <c r="A118" s="16" t="s">
        <v>775</v>
      </c>
      <c r="B118" s="17" t="s">
        <v>652</v>
      </c>
      <c r="C118" s="18">
        <v>270</v>
      </c>
      <c r="D118" s="17">
        <v>2.59</v>
      </c>
      <c r="E118" s="17">
        <v>2.54</v>
      </c>
      <c r="F118" s="17">
        <v>2.62</v>
      </c>
      <c r="G118" s="23">
        <v>-0.08</v>
      </c>
      <c r="H118" s="24">
        <v>-0.03</v>
      </c>
      <c r="I118" s="21">
        <v>27367</v>
      </c>
      <c r="J118" s="21">
        <v>4969</v>
      </c>
      <c r="K118" s="22">
        <v>0.40360000000000001</v>
      </c>
    </row>
    <row r="119" spans="1:11" ht="26.25" thickBot="1">
      <c r="A119" s="16" t="s">
        <v>776</v>
      </c>
      <c r="B119" s="17" t="s">
        <v>777</v>
      </c>
      <c r="C119" s="18">
        <v>275</v>
      </c>
      <c r="D119" s="17">
        <v>3.05</v>
      </c>
      <c r="E119" s="17">
        <v>3.05</v>
      </c>
      <c r="F119" s="17">
        <v>3.15</v>
      </c>
      <c r="G119" s="23">
        <v>-7.0000000000000007E-2</v>
      </c>
      <c r="H119" s="24">
        <v>-2.24E-2</v>
      </c>
      <c r="I119" s="17">
        <v>206</v>
      </c>
      <c r="J119" s="21">
        <v>2582</v>
      </c>
      <c r="K119" s="22">
        <v>0.39579999999999999</v>
      </c>
    </row>
    <row r="120" spans="1:11" ht="26.25" thickBot="1">
      <c r="A120" s="16" t="s">
        <v>778</v>
      </c>
      <c r="B120" s="17" t="s">
        <v>779</v>
      </c>
      <c r="C120" s="18">
        <v>280</v>
      </c>
      <c r="D120" s="17">
        <v>3.68</v>
      </c>
      <c r="E120" s="17">
        <v>3.65</v>
      </c>
      <c r="F120" s="17">
        <v>3.75</v>
      </c>
      <c r="G120" s="23">
        <v>-0.12</v>
      </c>
      <c r="H120" s="24">
        <v>-3.1600000000000003E-2</v>
      </c>
      <c r="I120" s="17">
        <v>600</v>
      </c>
      <c r="J120" s="21">
        <v>4266</v>
      </c>
      <c r="K120" s="22">
        <v>0.38719999999999999</v>
      </c>
    </row>
    <row r="121" spans="1:11" ht="26.25" thickBot="1">
      <c r="A121" s="16" t="s">
        <v>780</v>
      </c>
      <c r="B121" s="17" t="s">
        <v>647</v>
      </c>
      <c r="C121" s="18">
        <v>285</v>
      </c>
      <c r="D121" s="17">
        <v>4.42</v>
      </c>
      <c r="E121" s="17">
        <v>4.3499999999999996</v>
      </c>
      <c r="F121" s="17">
        <v>4.45</v>
      </c>
      <c r="G121" s="23">
        <v>-0.03</v>
      </c>
      <c r="H121" s="24">
        <v>-6.7000000000000002E-3</v>
      </c>
      <c r="I121" s="17">
        <v>114</v>
      </c>
      <c r="J121" s="21">
        <v>1748</v>
      </c>
      <c r="K121" s="22">
        <v>0.3785</v>
      </c>
    </row>
    <row r="122" spans="1:11" ht="26.25" thickBot="1">
      <c r="A122" s="16" t="s">
        <v>781</v>
      </c>
      <c r="B122" s="17" t="s">
        <v>647</v>
      </c>
      <c r="C122" s="18">
        <v>290</v>
      </c>
      <c r="D122" s="17">
        <v>5.3</v>
      </c>
      <c r="E122" s="17">
        <v>5.25</v>
      </c>
      <c r="F122" s="17">
        <v>5.4</v>
      </c>
      <c r="G122" s="23">
        <v>-0.1</v>
      </c>
      <c r="H122" s="24">
        <v>-1.8499999999999999E-2</v>
      </c>
      <c r="I122" s="17">
        <v>435</v>
      </c>
      <c r="J122" s="21">
        <v>3430</v>
      </c>
      <c r="K122" s="22">
        <v>0.37390000000000001</v>
      </c>
    </row>
    <row r="123" spans="1:11" ht="26.25" thickBot="1">
      <c r="A123" s="16" t="s">
        <v>782</v>
      </c>
      <c r="B123" s="17" t="s">
        <v>657</v>
      </c>
      <c r="C123" s="18">
        <v>295</v>
      </c>
      <c r="D123" s="17">
        <v>6.3</v>
      </c>
      <c r="E123" s="17">
        <v>6.25</v>
      </c>
      <c r="F123" s="17">
        <v>6.35</v>
      </c>
      <c r="G123" s="23">
        <v>-0.2</v>
      </c>
      <c r="H123" s="24">
        <v>-3.0800000000000001E-2</v>
      </c>
      <c r="I123" s="17">
        <v>125</v>
      </c>
      <c r="J123" s="21">
        <v>2010</v>
      </c>
      <c r="K123" s="22">
        <v>0.36520000000000002</v>
      </c>
    </row>
    <row r="124" spans="1:11" ht="26.25" thickBot="1">
      <c r="A124" s="16" t="s">
        <v>783</v>
      </c>
      <c r="B124" s="17" t="s">
        <v>779</v>
      </c>
      <c r="C124" s="18">
        <v>300</v>
      </c>
      <c r="D124" s="17">
        <v>7.51</v>
      </c>
      <c r="E124" s="17">
        <v>7.5</v>
      </c>
      <c r="F124" s="17">
        <v>7.65</v>
      </c>
      <c r="G124" s="19">
        <v>0.01</v>
      </c>
      <c r="H124" s="20">
        <v>1.2999999999999999E-3</v>
      </c>
      <c r="I124" s="21">
        <v>1057</v>
      </c>
      <c r="J124" s="21">
        <v>5770</v>
      </c>
      <c r="K124" s="22">
        <v>0.36159999999999998</v>
      </c>
    </row>
    <row r="125" spans="1:11" ht="26.25" thickBot="1">
      <c r="A125" s="16" t="s">
        <v>784</v>
      </c>
      <c r="B125" s="17" t="s">
        <v>785</v>
      </c>
      <c r="C125" s="18">
        <v>305</v>
      </c>
      <c r="D125" s="17">
        <v>8.9499999999999993</v>
      </c>
      <c r="E125" s="17">
        <v>8.9</v>
      </c>
      <c r="F125" s="17">
        <v>9.0500000000000007</v>
      </c>
      <c r="G125" s="23">
        <v>-0.15</v>
      </c>
      <c r="H125" s="24">
        <v>-1.6500000000000001E-2</v>
      </c>
      <c r="I125" s="17">
        <v>299</v>
      </c>
      <c r="J125" s="21">
        <v>7414</v>
      </c>
      <c r="K125" s="22">
        <v>0.35599999999999998</v>
      </c>
    </row>
    <row r="126" spans="1:11" ht="26.25" thickBot="1">
      <c r="A126" s="16" t="s">
        <v>786</v>
      </c>
      <c r="B126" s="17" t="s">
        <v>661</v>
      </c>
      <c r="C126" s="18">
        <v>310</v>
      </c>
      <c r="D126" s="17">
        <v>10.57</v>
      </c>
      <c r="E126" s="17">
        <v>10.5</v>
      </c>
      <c r="F126" s="17">
        <v>10.65</v>
      </c>
      <c r="G126" s="19">
        <v>7.0000000000000007E-2</v>
      </c>
      <c r="H126" s="20">
        <v>6.7000000000000002E-3</v>
      </c>
      <c r="I126" s="17">
        <v>799</v>
      </c>
      <c r="J126" s="21">
        <v>2735</v>
      </c>
      <c r="K126" s="22">
        <v>0.35060000000000002</v>
      </c>
    </row>
    <row r="127" spans="1:11" ht="26.25" thickBot="1">
      <c r="A127" s="16" t="s">
        <v>787</v>
      </c>
      <c r="B127" s="17" t="s">
        <v>777</v>
      </c>
      <c r="C127" s="18">
        <v>315</v>
      </c>
      <c r="D127" s="17">
        <v>12.23</v>
      </c>
      <c r="E127" s="17">
        <v>12.35</v>
      </c>
      <c r="F127" s="17">
        <v>12.5</v>
      </c>
      <c r="G127" s="23">
        <v>-0.49</v>
      </c>
      <c r="H127" s="24">
        <v>-3.85E-2</v>
      </c>
      <c r="I127" s="17">
        <v>501</v>
      </c>
      <c r="J127" s="21">
        <v>2927</v>
      </c>
      <c r="K127" s="22">
        <v>0.34610000000000002</v>
      </c>
    </row>
    <row r="128" spans="1:11" ht="26.25" thickBot="1">
      <c r="A128" s="16" t="s">
        <v>788</v>
      </c>
      <c r="B128" s="17" t="s">
        <v>661</v>
      </c>
      <c r="C128" s="18">
        <v>320</v>
      </c>
      <c r="D128" s="17">
        <v>14.55</v>
      </c>
      <c r="E128" s="17">
        <v>14.45</v>
      </c>
      <c r="F128" s="17">
        <v>14.6</v>
      </c>
      <c r="G128" s="19">
        <v>0.02</v>
      </c>
      <c r="H128" s="20">
        <v>1.4E-3</v>
      </c>
      <c r="I128" s="17">
        <v>383</v>
      </c>
      <c r="J128" s="21">
        <v>3695</v>
      </c>
      <c r="K128" s="22">
        <v>0.3422</v>
      </c>
    </row>
    <row r="129" spans="1:11" ht="26.25" thickBot="1">
      <c r="A129" s="4" t="s">
        <v>789</v>
      </c>
      <c r="B129" s="9" t="s">
        <v>754</v>
      </c>
      <c r="C129" s="5">
        <v>325</v>
      </c>
      <c r="D129" s="9">
        <v>16.72</v>
      </c>
      <c r="E129" s="9">
        <v>16.8</v>
      </c>
      <c r="F129" s="9">
        <v>16.95</v>
      </c>
      <c r="G129" s="13">
        <v>-0.08</v>
      </c>
      <c r="H129" s="14">
        <v>-4.7999999999999996E-3</v>
      </c>
      <c r="I129" s="9">
        <v>183</v>
      </c>
      <c r="J129" s="15">
        <v>10184</v>
      </c>
      <c r="K129" s="12">
        <v>0.33879999999999999</v>
      </c>
    </row>
    <row r="130" spans="1:11" ht="26.25" thickBot="1">
      <c r="A130" s="4" t="s">
        <v>790</v>
      </c>
      <c r="B130" s="9" t="s">
        <v>791</v>
      </c>
      <c r="C130" s="5">
        <v>330</v>
      </c>
      <c r="D130" s="9">
        <v>19.3</v>
      </c>
      <c r="E130" s="9">
        <v>19.399999999999999</v>
      </c>
      <c r="F130" s="9">
        <v>19.55</v>
      </c>
      <c r="G130" s="13">
        <v>-0.18</v>
      </c>
      <c r="H130" s="14">
        <v>-9.1999999999999998E-3</v>
      </c>
      <c r="I130" s="9">
        <v>106</v>
      </c>
      <c r="J130" s="15">
        <v>16513</v>
      </c>
      <c r="K130" s="12">
        <v>0.3357</v>
      </c>
    </row>
    <row r="131" spans="1:11" ht="26.25" thickBot="1">
      <c r="A131" s="4" t="s">
        <v>792</v>
      </c>
      <c r="B131" s="9" t="s">
        <v>655</v>
      </c>
      <c r="C131" s="5">
        <v>335</v>
      </c>
      <c r="D131" s="9">
        <v>22.22</v>
      </c>
      <c r="E131" s="9">
        <v>22.3</v>
      </c>
      <c r="F131" s="9">
        <v>22.45</v>
      </c>
      <c r="G131" s="13">
        <v>-0.52</v>
      </c>
      <c r="H131" s="14">
        <v>-2.29E-2</v>
      </c>
      <c r="I131" s="9">
        <v>37</v>
      </c>
      <c r="J131" s="15">
        <v>7957</v>
      </c>
      <c r="K131" s="12">
        <v>0.33410000000000001</v>
      </c>
    </row>
    <row r="132" spans="1:11" ht="26.25" thickBot="1">
      <c r="A132" s="4" t="s">
        <v>793</v>
      </c>
      <c r="B132" s="9" t="s">
        <v>794</v>
      </c>
      <c r="C132" s="5">
        <v>340</v>
      </c>
      <c r="D132" s="9">
        <v>24.84</v>
      </c>
      <c r="E132" s="9">
        <v>25.4</v>
      </c>
      <c r="F132" s="9">
        <v>25.6</v>
      </c>
      <c r="G132" s="13">
        <v>-1.1100000000000001</v>
      </c>
      <c r="H132" s="14">
        <v>-4.2799999999999998E-2</v>
      </c>
      <c r="I132" s="9">
        <v>29</v>
      </c>
      <c r="J132" s="15">
        <v>3786</v>
      </c>
      <c r="K132" s="12">
        <v>0.33289999999999997</v>
      </c>
    </row>
    <row r="133" spans="1:11" ht="26.25" thickBot="1">
      <c r="A133" s="4" t="s">
        <v>795</v>
      </c>
      <c r="B133" s="9" t="s">
        <v>796</v>
      </c>
      <c r="C133" s="5">
        <v>345</v>
      </c>
      <c r="D133" s="9">
        <v>27.8</v>
      </c>
      <c r="E133" s="9">
        <v>28.7</v>
      </c>
      <c r="F133" s="9">
        <v>28.9</v>
      </c>
      <c r="G133" s="13">
        <v>-2.85</v>
      </c>
      <c r="H133" s="14">
        <v>-9.2999999999999999E-2</v>
      </c>
      <c r="I133" s="9">
        <v>21</v>
      </c>
      <c r="J133" s="15">
        <v>2106</v>
      </c>
      <c r="K133" s="12">
        <v>0.33040000000000003</v>
      </c>
    </row>
    <row r="134" spans="1:11" ht="26.25" thickBot="1">
      <c r="A134" s="4" t="s">
        <v>797</v>
      </c>
      <c r="B134" s="9" t="s">
        <v>683</v>
      </c>
      <c r="C134" s="5">
        <v>350</v>
      </c>
      <c r="D134" s="9">
        <v>32.1</v>
      </c>
      <c r="E134" s="9">
        <v>32.25</v>
      </c>
      <c r="F134" s="9">
        <v>32.450000000000003</v>
      </c>
      <c r="G134" s="13">
        <v>-0.55000000000000004</v>
      </c>
      <c r="H134" s="14">
        <v>-1.6799999999999999E-2</v>
      </c>
      <c r="I134" s="9">
        <v>36</v>
      </c>
      <c r="J134" s="15">
        <v>5900</v>
      </c>
      <c r="K134" s="12">
        <v>0.32879999999999998</v>
      </c>
    </row>
    <row r="135" spans="1:11" ht="26.25" thickBot="1">
      <c r="A135" s="4" t="s">
        <v>798</v>
      </c>
      <c r="B135" s="9" t="s">
        <v>745</v>
      </c>
      <c r="C135" s="5">
        <v>355</v>
      </c>
      <c r="D135" s="9">
        <v>35.450000000000003</v>
      </c>
      <c r="E135" s="9">
        <v>36</v>
      </c>
      <c r="F135" s="9">
        <v>36.25</v>
      </c>
      <c r="G135" s="13">
        <v>-3.65</v>
      </c>
      <c r="H135" s="14">
        <v>-9.3399999999999997E-2</v>
      </c>
      <c r="I135" s="9">
        <v>55</v>
      </c>
      <c r="J135" s="15">
        <v>1024</v>
      </c>
      <c r="K135" s="12">
        <v>0.32869999999999999</v>
      </c>
    </row>
    <row r="136" spans="1:11" ht="26.25" thickBot="1">
      <c r="A136" s="4" t="s">
        <v>799</v>
      </c>
      <c r="B136" s="9" t="s">
        <v>745</v>
      </c>
      <c r="C136" s="5">
        <v>360</v>
      </c>
      <c r="D136" s="9">
        <v>39.39</v>
      </c>
      <c r="E136" s="9">
        <v>39.950000000000003</v>
      </c>
      <c r="F136" s="9">
        <v>40.200000000000003</v>
      </c>
      <c r="G136" s="13">
        <v>-2.65</v>
      </c>
      <c r="H136" s="14">
        <v>-6.3E-2</v>
      </c>
      <c r="I136" s="9">
        <v>73</v>
      </c>
      <c r="J136" s="15">
        <v>4671</v>
      </c>
      <c r="K136" s="12">
        <v>0.32819999999999999</v>
      </c>
    </row>
    <row r="137" spans="1:11" ht="26.25" thickBot="1">
      <c r="A137" s="4" t="s">
        <v>800</v>
      </c>
      <c r="B137" s="9" t="s">
        <v>801</v>
      </c>
      <c r="C137" s="5">
        <v>365</v>
      </c>
      <c r="D137" s="9">
        <v>44.18</v>
      </c>
      <c r="E137" s="9">
        <v>44.1</v>
      </c>
      <c r="F137" s="9">
        <v>44.3</v>
      </c>
      <c r="G137" s="13">
        <v>-1.6</v>
      </c>
      <c r="H137" s="14">
        <v>-3.49E-2</v>
      </c>
      <c r="I137" s="9">
        <v>1</v>
      </c>
      <c r="J137" s="15">
        <v>1192</v>
      </c>
      <c r="K137" s="12">
        <v>0.3276</v>
      </c>
    </row>
    <row r="138" spans="1:11" ht="26.25" thickBot="1">
      <c r="A138" s="4" t="s">
        <v>802</v>
      </c>
      <c r="B138" s="9" t="s">
        <v>683</v>
      </c>
      <c r="C138" s="5">
        <v>370</v>
      </c>
      <c r="D138" s="9">
        <v>48.18</v>
      </c>
      <c r="E138" s="9">
        <v>48.35</v>
      </c>
      <c r="F138" s="9">
        <v>48.6</v>
      </c>
      <c r="G138" s="13">
        <v>-0.82</v>
      </c>
      <c r="H138" s="14">
        <v>-1.67E-2</v>
      </c>
      <c r="I138" s="9">
        <v>26</v>
      </c>
      <c r="J138" s="15">
        <v>1034</v>
      </c>
      <c r="K138" s="12">
        <v>0.32900000000000001</v>
      </c>
    </row>
    <row r="139" spans="1:11" ht="26.25" thickBot="1">
      <c r="A139" s="4" t="s">
        <v>803</v>
      </c>
      <c r="B139" s="9" t="s">
        <v>804</v>
      </c>
      <c r="C139" s="5">
        <v>375</v>
      </c>
      <c r="D139" s="9">
        <v>53.22</v>
      </c>
      <c r="E139" s="9">
        <v>52.8</v>
      </c>
      <c r="F139" s="9">
        <v>53.15</v>
      </c>
      <c r="G139" s="13">
        <v>-1.76</v>
      </c>
      <c r="H139" s="14">
        <v>-3.2000000000000001E-2</v>
      </c>
      <c r="I139" s="9">
        <v>1</v>
      </c>
      <c r="J139" s="15">
        <v>3572</v>
      </c>
      <c r="K139" s="12">
        <v>0.33550000000000002</v>
      </c>
    </row>
    <row r="140" spans="1:11" ht="26.25" thickBot="1">
      <c r="A140" s="4" t="s">
        <v>805</v>
      </c>
      <c r="B140" s="9" t="s">
        <v>806</v>
      </c>
      <c r="C140" s="5">
        <v>380</v>
      </c>
      <c r="D140" s="9">
        <v>55.73</v>
      </c>
      <c r="E140" s="9">
        <v>57.2</v>
      </c>
      <c r="F140" s="9">
        <v>57.5</v>
      </c>
      <c r="G140" s="13">
        <v>-3.75</v>
      </c>
      <c r="H140" s="14">
        <v>-6.3E-2</v>
      </c>
      <c r="I140" s="9">
        <v>33</v>
      </c>
      <c r="J140" s="9">
        <v>618</v>
      </c>
      <c r="K140" s="12">
        <v>0.33150000000000002</v>
      </c>
    </row>
    <row r="141" spans="1:11" ht="26.25" thickBot="1">
      <c r="A141" s="4" t="s">
        <v>807</v>
      </c>
      <c r="B141" s="9" t="s">
        <v>808</v>
      </c>
      <c r="C141" s="5">
        <v>385</v>
      </c>
      <c r="D141" s="9">
        <v>47.3</v>
      </c>
      <c r="E141" s="9">
        <v>61.85</v>
      </c>
      <c r="F141" s="9">
        <v>62.1</v>
      </c>
      <c r="G141" s="9">
        <v>0</v>
      </c>
      <c r="H141" s="9" t="s">
        <v>0</v>
      </c>
      <c r="I141" s="9">
        <v>2</v>
      </c>
      <c r="J141" s="9">
        <v>543</v>
      </c>
      <c r="K141" s="12">
        <v>0.33360000000000001</v>
      </c>
    </row>
    <row r="142" spans="1:11" ht="26.25" thickBot="1">
      <c r="A142" s="4" t="s">
        <v>809</v>
      </c>
      <c r="B142" s="9" t="s">
        <v>810</v>
      </c>
      <c r="C142" s="5">
        <v>390</v>
      </c>
      <c r="D142" s="9">
        <v>49.6</v>
      </c>
      <c r="E142" s="9">
        <v>66.45</v>
      </c>
      <c r="F142" s="9">
        <v>66.849999999999994</v>
      </c>
      <c r="G142" s="9">
        <v>0</v>
      </c>
      <c r="H142" s="9" t="s">
        <v>0</v>
      </c>
      <c r="I142" s="9">
        <v>6</v>
      </c>
      <c r="J142" s="9">
        <v>320</v>
      </c>
      <c r="K142" s="12">
        <v>0.33989999999999998</v>
      </c>
    </row>
    <row r="143" spans="1:11" ht="26.25" thickBot="1">
      <c r="A143" s="4" t="s">
        <v>811</v>
      </c>
      <c r="B143" s="9" t="s">
        <v>812</v>
      </c>
      <c r="C143" s="5">
        <v>395</v>
      </c>
      <c r="D143" s="9">
        <v>72.180000000000007</v>
      </c>
      <c r="E143" s="9">
        <v>71.2</v>
      </c>
      <c r="F143" s="9">
        <v>71.55</v>
      </c>
      <c r="G143" s="9">
        <v>0</v>
      </c>
      <c r="H143" s="9" t="s">
        <v>0</v>
      </c>
      <c r="I143" s="9">
        <v>10</v>
      </c>
      <c r="J143" s="9">
        <v>90</v>
      </c>
      <c r="K143" s="12">
        <v>0.34129999999999999</v>
      </c>
    </row>
    <row r="144" spans="1:11" ht="26.25" thickBot="1">
      <c r="A144" s="4" t="s">
        <v>813</v>
      </c>
      <c r="B144" s="9" t="s">
        <v>733</v>
      </c>
      <c r="C144" s="5">
        <v>400</v>
      </c>
      <c r="D144" s="9">
        <v>75</v>
      </c>
      <c r="E144" s="9">
        <v>76.05</v>
      </c>
      <c r="F144" s="9">
        <v>76.3</v>
      </c>
      <c r="G144" s="13">
        <v>-4.18</v>
      </c>
      <c r="H144" s="14">
        <v>-5.28E-2</v>
      </c>
      <c r="I144" s="9">
        <v>1</v>
      </c>
      <c r="J144" s="9">
        <v>100</v>
      </c>
      <c r="K144" s="12">
        <v>0.34279999999999999</v>
      </c>
    </row>
    <row r="145" spans="1:11" ht="26.25" thickBot="1">
      <c r="A145" s="4" t="s">
        <v>814</v>
      </c>
      <c r="B145" s="9" t="s">
        <v>815</v>
      </c>
      <c r="C145" s="5">
        <v>405</v>
      </c>
      <c r="D145" s="9">
        <v>75.7</v>
      </c>
      <c r="E145" s="9">
        <v>80.849999999999994</v>
      </c>
      <c r="F145" s="9">
        <v>81.150000000000006</v>
      </c>
      <c r="G145" s="9">
        <v>0</v>
      </c>
      <c r="H145" s="9" t="s">
        <v>0</v>
      </c>
      <c r="I145" s="9">
        <v>3</v>
      </c>
      <c r="J145" s="9">
        <v>19</v>
      </c>
      <c r="K145" s="12">
        <v>0.3483</v>
      </c>
    </row>
    <row r="146" spans="1:11" ht="26.25" thickBot="1">
      <c r="A146" s="4" t="s">
        <v>816</v>
      </c>
      <c r="B146" s="9" t="s">
        <v>817</v>
      </c>
      <c r="C146" s="5">
        <v>410</v>
      </c>
      <c r="D146" s="9">
        <v>86.45</v>
      </c>
      <c r="E146" s="9">
        <v>85.7</v>
      </c>
      <c r="F146" s="9">
        <v>86.1</v>
      </c>
      <c r="G146" s="9">
        <v>0</v>
      </c>
      <c r="H146" s="9" t="s">
        <v>0</v>
      </c>
      <c r="I146" s="9">
        <v>1</v>
      </c>
      <c r="J146" s="9">
        <v>38</v>
      </c>
      <c r="K146" s="12">
        <v>0.35959999999999998</v>
      </c>
    </row>
    <row r="147" spans="1:11" ht="26.25" thickBot="1">
      <c r="A147" s="4" t="s">
        <v>818</v>
      </c>
      <c r="B147" s="9" t="s">
        <v>819</v>
      </c>
      <c r="C147" s="5">
        <v>415</v>
      </c>
      <c r="D147" s="9">
        <v>96.65</v>
      </c>
      <c r="E147" s="9">
        <v>90.55</v>
      </c>
      <c r="F147" s="9">
        <v>90.9</v>
      </c>
      <c r="G147" s="9">
        <v>0</v>
      </c>
      <c r="H147" s="9" t="s">
        <v>0</v>
      </c>
      <c r="I147" s="9">
        <v>8</v>
      </c>
      <c r="J147" s="9">
        <v>24</v>
      </c>
      <c r="K147" s="12">
        <v>0.35799999999999998</v>
      </c>
    </row>
    <row r="148" spans="1:11" ht="26.25" thickBot="1">
      <c r="A148" s="4" t="s">
        <v>820</v>
      </c>
      <c r="B148" s="9" t="s">
        <v>719</v>
      </c>
      <c r="C148" s="5">
        <v>420</v>
      </c>
      <c r="D148" s="9">
        <v>95.5</v>
      </c>
      <c r="E148" s="9">
        <v>95.4</v>
      </c>
      <c r="F148" s="9">
        <v>95.75</v>
      </c>
      <c r="G148" s="9">
        <v>0</v>
      </c>
      <c r="H148" s="9" t="s">
        <v>0</v>
      </c>
      <c r="I148" s="9">
        <v>1</v>
      </c>
      <c r="J148" s="9">
        <v>46</v>
      </c>
      <c r="K148" s="12">
        <v>0.35770000000000002</v>
      </c>
    </row>
    <row r="149" spans="1:11" ht="26.25" thickBot="1">
      <c r="A149" s="4" t="s">
        <v>821</v>
      </c>
      <c r="B149" s="9" t="s">
        <v>822</v>
      </c>
      <c r="C149" s="5">
        <v>425</v>
      </c>
      <c r="D149" s="9">
        <v>101.35</v>
      </c>
      <c r="E149" s="9">
        <v>100.35</v>
      </c>
      <c r="F149" s="9">
        <v>100.75</v>
      </c>
      <c r="G149" s="9">
        <v>0</v>
      </c>
      <c r="H149" s="9" t="s">
        <v>0</v>
      </c>
      <c r="I149" s="9">
        <v>2</v>
      </c>
      <c r="J149" s="9">
        <v>29</v>
      </c>
      <c r="K149" s="12">
        <v>0.371</v>
      </c>
    </row>
    <row r="150" spans="1:11" ht="26.25" thickBot="1">
      <c r="A150" s="4" t="s">
        <v>823</v>
      </c>
      <c r="B150" s="9" t="s">
        <v>824</v>
      </c>
      <c r="C150" s="5">
        <v>430</v>
      </c>
      <c r="D150" s="9">
        <v>89.45</v>
      </c>
      <c r="E150" s="9">
        <v>105.3</v>
      </c>
      <c r="F150" s="9">
        <v>105.6</v>
      </c>
      <c r="G150" s="9">
        <v>0</v>
      </c>
      <c r="H150" s="9" t="s">
        <v>0</v>
      </c>
      <c r="I150" s="9">
        <v>13</v>
      </c>
      <c r="J150" s="9">
        <v>61</v>
      </c>
      <c r="K150" s="12">
        <v>0.36670000000000003</v>
      </c>
    </row>
    <row r="151" spans="1:11" ht="26.25" thickBot="1">
      <c r="A151" s="4" t="s">
        <v>825</v>
      </c>
      <c r="B151" s="9" t="s">
        <v>826</v>
      </c>
      <c r="C151" s="5">
        <v>435</v>
      </c>
      <c r="D151" s="9">
        <v>110.45</v>
      </c>
      <c r="E151" s="9">
        <v>110.25</v>
      </c>
      <c r="F151" s="9">
        <v>110.5</v>
      </c>
      <c r="G151" s="9">
        <v>0</v>
      </c>
      <c r="H151" s="9" t="s">
        <v>0</v>
      </c>
      <c r="I151" s="9">
        <v>1</v>
      </c>
      <c r="J151" s="9">
        <v>41</v>
      </c>
      <c r="K151" s="12">
        <v>0.36520000000000002</v>
      </c>
    </row>
    <row r="152" spans="1:11" ht="26.25" thickBot="1">
      <c r="A152" s="4" t="s">
        <v>827</v>
      </c>
      <c r="B152" s="9" t="s">
        <v>828</v>
      </c>
      <c r="C152" s="5">
        <v>440</v>
      </c>
      <c r="D152" s="9">
        <v>98.85</v>
      </c>
      <c r="E152" s="9">
        <v>115.1</v>
      </c>
      <c r="F152" s="9">
        <v>115.55</v>
      </c>
      <c r="G152" s="9">
        <v>0</v>
      </c>
      <c r="H152" s="9" t="s">
        <v>0</v>
      </c>
      <c r="I152" s="9">
        <v>2</v>
      </c>
      <c r="J152" s="9">
        <v>54</v>
      </c>
      <c r="K152" s="12">
        <v>0.38429999999999997</v>
      </c>
    </row>
    <row r="153" spans="1:11" ht="26.25" thickBot="1">
      <c r="A153" s="4" t="s">
        <v>829</v>
      </c>
      <c r="B153" s="9" t="s">
        <v>830</v>
      </c>
      <c r="C153" s="5">
        <v>445</v>
      </c>
      <c r="D153" s="9">
        <v>116.15</v>
      </c>
      <c r="E153" s="9">
        <v>120.15</v>
      </c>
      <c r="F153" s="9">
        <v>120.55</v>
      </c>
      <c r="G153" s="9">
        <v>0</v>
      </c>
      <c r="H153" s="9" t="s">
        <v>0</v>
      </c>
      <c r="I153" s="9">
        <v>6</v>
      </c>
      <c r="J153" s="9">
        <v>44</v>
      </c>
      <c r="K153" s="12">
        <v>0.3962</v>
      </c>
    </row>
    <row r="154" spans="1:11" ht="26.25" thickBot="1">
      <c r="A154" s="4" t="s">
        <v>831</v>
      </c>
      <c r="B154" s="9" t="s">
        <v>832</v>
      </c>
      <c r="C154" s="5">
        <v>450</v>
      </c>
      <c r="D154" s="9">
        <v>123.15</v>
      </c>
      <c r="E154" s="9">
        <v>125.05</v>
      </c>
      <c r="F154" s="9">
        <v>125.4</v>
      </c>
      <c r="G154" s="9">
        <v>0</v>
      </c>
      <c r="H154" s="9" t="s">
        <v>0</v>
      </c>
      <c r="I154" s="9">
        <v>2</v>
      </c>
      <c r="J154" s="9">
        <v>64</v>
      </c>
      <c r="K154" s="12">
        <v>0.38229999999999997</v>
      </c>
    </row>
    <row r="155" spans="1:11" ht="26.25" thickBot="1">
      <c r="A155" s="4" t="s">
        <v>833</v>
      </c>
      <c r="B155" s="9" t="s">
        <v>834</v>
      </c>
      <c r="C155" s="5">
        <v>455</v>
      </c>
      <c r="D155" s="9">
        <v>123.25</v>
      </c>
      <c r="E155" s="9">
        <v>130.1</v>
      </c>
      <c r="F155" s="9">
        <v>130.44999999999999</v>
      </c>
      <c r="G155" s="9">
        <v>0</v>
      </c>
      <c r="H155" s="9" t="s">
        <v>0</v>
      </c>
      <c r="I155" s="9">
        <v>4</v>
      </c>
      <c r="J155" s="9">
        <v>36</v>
      </c>
      <c r="K155" s="12">
        <v>0.40279999999999999</v>
      </c>
    </row>
    <row r="156" spans="1:11" ht="26.25" thickBot="1">
      <c r="A156" s="4" t="s">
        <v>835</v>
      </c>
      <c r="B156" s="9" t="s">
        <v>836</v>
      </c>
      <c r="C156" s="5">
        <v>460</v>
      </c>
      <c r="D156" s="9">
        <v>139.35</v>
      </c>
      <c r="E156" s="9">
        <v>135.05000000000001</v>
      </c>
      <c r="F156" s="9">
        <v>135.44999999999999</v>
      </c>
      <c r="G156" s="10">
        <v>4.55</v>
      </c>
      <c r="H156" s="11">
        <v>3.3799999999999997E-2</v>
      </c>
      <c r="I156" s="9">
        <v>6</v>
      </c>
      <c r="J156" s="9">
        <v>99</v>
      </c>
      <c r="K156" s="12">
        <v>0.41360000000000002</v>
      </c>
    </row>
    <row r="157" spans="1:11" ht="26.25" thickBot="1">
      <c r="A157" s="4" t="s">
        <v>837</v>
      </c>
      <c r="B157" s="9" t="s">
        <v>838</v>
      </c>
      <c r="C157" s="5">
        <v>465</v>
      </c>
      <c r="D157" s="9">
        <v>140.94999999999999</v>
      </c>
      <c r="E157" s="9">
        <v>139.94999999999999</v>
      </c>
      <c r="F157" s="9">
        <v>140.35</v>
      </c>
      <c r="G157" s="9">
        <v>0</v>
      </c>
      <c r="H157" s="9" t="s">
        <v>0</v>
      </c>
      <c r="I157" s="9">
        <v>4</v>
      </c>
      <c r="J157" s="9">
        <v>31</v>
      </c>
      <c r="K157" s="12">
        <v>0.40329999999999999</v>
      </c>
    </row>
    <row r="158" spans="1:11" ht="26.25" thickBot="1">
      <c r="A158" s="4" t="s">
        <v>839</v>
      </c>
      <c r="B158" s="9" t="s">
        <v>840</v>
      </c>
      <c r="C158" s="5">
        <v>470</v>
      </c>
      <c r="D158" s="9">
        <v>142</v>
      </c>
      <c r="E158" s="9">
        <v>145.05000000000001</v>
      </c>
      <c r="F158" s="9">
        <v>145.4</v>
      </c>
      <c r="G158" s="9">
        <v>0</v>
      </c>
      <c r="H158" s="9" t="s">
        <v>0</v>
      </c>
      <c r="I158" s="9">
        <v>1</v>
      </c>
      <c r="J158" s="9">
        <v>66</v>
      </c>
      <c r="K158" s="12">
        <v>0.42480000000000001</v>
      </c>
    </row>
    <row r="159" spans="1:11" ht="26.25" thickBot="1">
      <c r="A159" s="4" t="s">
        <v>841</v>
      </c>
      <c r="B159" s="9" t="s">
        <v>842</v>
      </c>
      <c r="C159" s="5">
        <v>475</v>
      </c>
      <c r="D159" s="9">
        <v>149.9</v>
      </c>
      <c r="E159" s="9">
        <v>150</v>
      </c>
      <c r="F159" s="9">
        <v>150.4</v>
      </c>
      <c r="G159" s="13">
        <v>-1.55</v>
      </c>
      <c r="H159" s="14">
        <v>-1.0200000000000001E-2</v>
      </c>
      <c r="I159" s="9">
        <v>7</v>
      </c>
      <c r="J159" s="9">
        <v>4</v>
      </c>
      <c r="K159" s="12">
        <v>0.43509999999999999</v>
      </c>
    </row>
    <row r="160" spans="1:11" ht="26.25" thickBot="1">
      <c r="A160" s="4" t="s">
        <v>843</v>
      </c>
      <c r="B160" s="9" t="s">
        <v>844</v>
      </c>
      <c r="C160" s="5">
        <v>480</v>
      </c>
      <c r="D160" s="9">
        <v>155.75</v>
      </c>
      <c r="E160" s="9">
        <v>154.94999999999999</v>
      </c>
      <c r="F160" s="9">
        <v>155.35</v>
      </c>
      <c r="G160" s="10">
        <v>17.350000000000001</v>
      </c>
      <c r="H160" s="11">
        <v>0.12540000000000001</v>
      </c>
      <c r="I160" s="9">
        <v>5</v>
      </c>
      <c r="J160" s="9">
        <v>6</v>
      </c>
      <c r="K160" s="12">
        <v>0.43309999999999998</v>
      </c>
    </row>
    <row r="161" spans="1:11" ht="26.25" thickBot="1">
      <c r="A161" s="4" t="s">
        <v>845</v>
      </c>
      <c r="B161" s="9" t="s">
        <v>846</v>
      </c>
      <c r="C161" s="5">
        <v>485</v>
      </c>
      <c r="D161" s="9">
        <v>144.15</v>
      </c>
      <c r="E161" s="9">
        <v>160</v>
      </c>
      <c r="F161" s="9">
        <v>160.4</v>
      </c>
      <c r="G161" s="9">
        <v>0</v>
      </c>
      <c r="H161" s="9" t="s">
        <v>0</v>
      </c>
      <c r="I161" s="9">
        <v>3</v>
      </c>
      <c r="J161" s="9">
        <v>3</v>
      </c>
      <c r="K161" s="12">
        <v>0.4551</v>
      </c>
    </row>
    <row r="162" spans="1:11" ht="26.25" thickBot="1">
      <c r="A162" s="4" t="s">
        <v>847</v>
      </c>
      <c r="B162" s="9" t="s">
        <v>848</v>
      </c>
      <c r="C162" s="5">
        <v>490</v>
      </c>
      <c r="D162" s="9">
        <v>132.94999999999999</v>
      </c>
      <c r="E162" s="9">
        <v>164.35</v>
      </c>
      <c r="F162" s="9">
        <v>166.4</v>
      </c>
      <c r="G162" s="9">
        <v>0</v>
      </c>
      <c r="H162" s="9" t="s">
        <v>0</v>
      </c>
      <c r="I162" s="9">
        <v>2</v>
      </c>
      <c r="J162" s="9">
        <v>0</v>
      </c>
      <c r="K162" s="12">
        <v>0.59109999999999996</v>
      </c>
    </row>
    <row r="163" spans="1:11" ht="26.25" thickBot="1">
      <c r="A163" s="4" t="s">
        <v>849</v>
      </c>
      <c r="B163" s="9" t="s">
        <v>850</v>
      </c>
      <c r="C163" s="5">
        <v>495</v>
      </c>
      <c r="D163" s="9">
        <v>142.6</v>
      </c>
      <c r="E163" s="9">
        <v>170.6</v>
      </c>
      <c r="F163" s="9">
        <v>171</v>
      </c>
      <c r="G163" s="9">
        <v>0</v>
      </c>
      <c r="H163" s="9" t="s">
        <v>0</v>
      </c>
      <c r="I163" s="9">
        <v>6</v>
      </c>
      <c r="J163" s="9">
        <v>0</v>
      </c>
      <c r="K163" s="12">
        <v>0.54100000000000004</v>
      </c>
    </row>
    <row r="164" spans="1:11" ht="26.25" thickBot="1">
      <c r="A164" s="4" t="s">
        <v>851</v>
      </c>
      <c r="B164" s="9" t="s">
        <v>852</v>
      </c>
      <c r="C164" s="5">
        <v>500</v>
      </c>
      <c r="D164" s="9">
        <v>140.75</v>
      </c>
      <c r="E164" s="9">
        <v>174.3</v>
      </c>
      <c r="F164" s="9">
        <v>176.45</v>
      </c>
      <c r="G164" s="9">
        <v>0</v>
      </c>
      <c r="H164" s="9" t="s">
        <v>0</v>
      </c>
      <c r="I164" s="9">
        <v>2</v>
      </c>
      <c r="J164" s="9">
        <v>0</v>
      </c>
      <c r="K164" s="12">
        <v>0.6179</v>
      </c>
    </row>
    <row r="165" spans="1:11" ht="26.25" thickBot="1">
      <c r="A165" s="4" t="s">
        <v>853</v>
      </c>
      <c r="B165" s="9" t="s">
        <v>854</v>
      </c>
      <c r="C165" s="5">
        <v>510</v>
      </c>
      <c r="D165" s="9">
        <v>168.8</v>
      </c>
      <c r="E165" s="9">
        <v>184.95</v>
      </c>
      <c r="F165" s="9">
        <v>185.35</v>
      </c>
      <c r="G165" s="9">
        <v>0</v>
      </c>
      <c r="H165" s="9" t="s">
        <v>0</v>
      </c>
      <c r="I165" s="9">
        <v>20</v>
      </c>
      <c r="J165" s="9">
        <v>0</v>
      </c>
      <c r="K165" s="12">
        <v>0.49020000000000002</v>
      </c>
    </row>
    <row r="166" spans="1:11" ht="26.25" thickBot="1">
      <c r="A166" s="4" t="s">
        <v>855</v>
      </c>
      <c r="B166" s="9" t="s">
        <v>856</v>
      </c>
      <c r="C166" s="5">
        <v>520</v>
      </c>
      <c r="D166" s="9">
        <v>156.85</v>
      </c>
      <c r="E166" s="9">
        <v>194.95</v>
      </c>
      <c r="F166" s="9">
        <v>195.45</v>
      </c>
      <c r="G166" s="9">
        <v>0</v>
      </c>
      <c r="H166" s="9" t="s">
        <v>0</v>
      </c>
      <c r="I166" s="9">
        <v>18</v>
      </c>
      <c r="J166" s="9">
        <v>0</v>
      </c>
      <c r="K166" s="12">
        <v>0.53320000000000001</v>
      </c>
    </row>
    <row r="167" spans="1:11" ht="26.25" thickBot="1">
      <c r="A167" s="4" t="s">
        <v>857</v>
      </c>
      <c r="B167" s="9" t="s">
        <v>858</v>
      </c>
      <c r="C167" s="5">
        <v>540</v>
      </c>
      <c r="D167" s="9">
        <v>162.5</v>
      </c>
      <c r="E167" s="9">
        <v>207.85</v>
      </c>
      <c r="F167" s="9">
        <v>208.7</v>
      </c>
      <c r="G167" s="9">
        <v>0</v>
      </c>
      <c r="H167" s="9" t="s">
        <v>0</v>
      </c>
      <c r="I167" s="9" t="s">
        <v>0</v>
      </c>
      <c r="J167" s="9">
        <v>0</v>
      </c>
      <c r="K167" s="12">
        <v>0</v>
      </c>
    </row>
    <row r="168" spans="1:11" ht="25.5">
      <c r="A168" s="4" t="s">
        <v>859</v>
      </c>
      <c r="B168" s="9" t="s">
        <v>860</v>
      </c>
      <c r="C168" s="5">
        <v>550</v>
      </c>
      <c r="D168" s="9">
        <v>170.9</v>
      </c>
      <c r="E168" s="9">
        <v>218.15</v>
      </c>
      <c r="F168" s="9">
        <v>218.55</v>
      </c>
      <c r="G168" s="9">
        <v>0</v>
      </c>
      <c r="H168" s="9" t="s">
        <v>0</v>
      </c>
      <c r="I168" s="9">
        <v>1</v>
      </c>
      <c r="J168" s="9">
        <v>0</v>
      </c>
      <c r="K168" s="12">
        <v>0</v>
      </c>
    </row>
  </sheetData>
  <hyperlinks>
    <hyperlink ref="A11" r:id="rId1" display="https://finance.yahoo.com/quote/FB211217C00150000?p=FB211217C00150000" xr:uid="{5E8429C2-6F44-49C4-AD05-D51CB0FFB7C2}"/>
    <hyperlink ref="C11" r:id="rId2" display="https://finance.yahoo.com/quote/FB/options?strike=150&amp;straddle=false" xr:uid="{5F641938-9057-4E90-AC07-30C561893DDA}"/>
    <hyperlink ref="A12" r:id="rId3" display="https://finance.yahoo.com/quote/FB211217C00155000?p=FB211217C00155000" xr:uid="{2977F4B1-3483-4FC7-B9EB-AB8210195F00}"/>
    <hyperlink ref="C12" r:id="rId4" display="https://finance.yahoo.com/quote/FB/options?strike=155&amp;straddle=false" xr:uid="{8B2D1189-4386-43A1-8C6A-95C44F6BBBB2}"/>
    <hyperlink ref="A13" r:id="rId5" display="https://finance.yahoo.com/quote/FB211217C00160000?p=FB211217C00160000" xr:uid="{4B584566-243C-4DBC-A2C6-A0A5AA1E4B76}"/>
    <hyperlink ref="C13" r:id="rId6" display="https://finance.yahoo.com/quote/FB/options?strike=160&amp;straddle=false" xr:uid="{1C1549F8-8FD8-4B91-BCBC-7156AE345CB2}"/>
    <hyperlink ref="A14" r:id="rId7" display="https://finance.yahoo.com/quote/FB211217C00165000?p=FB211217C00165000" xr:uid="{586AABE2-C6C4-4F30-91AF-B921C9038A08}"/>
    <hyperlink ref="C14" r:id="rId8" display="https://finance.yahoo.com/quote/FB/options?strike=165&amp;straddle=false" xr:uid="{17951BEB-C986-4E08-A726-28EF46983038}"/>
    <hyperlink ref="A15" r:id="rId9" display="https://finance.yahoo.com/quote/FB211217C00170000?p=FB211217C00170000" xr:uid="{DD057703-4ACC-475F-8926-BCD209059FEB}"/>
    <hyperlink ref="C15" r:id="rId10" display="https://finance.yahoo.com/quote/FB/options?strike=170&amp;straddle=false" xr:uid="{7C0A4CD9-4C6F-4711-8CE7-A6639BEF340A}"/>
    <hyperlink ref="A16" r:id="rId11" display="https://finance.yahoo.com/quote/FB211217C00175000?p=FB211217C00175000" xr:uid="{9D79D31A-3F9D-4E8A-BCE4-F071638DC5F0}"/>
    <hyperlink ref="C16" r:id="rId12" display="https://finance.yahoo.com/quote/FB/options?strike=175&amp;straddle=false" xr:uid="{19CEADE6-8BF0-4186-81FE-A29D94FC8D4F}"/>
    <hyperlink ref="A17" r:id="rId13" display="https://finance.yahoo.com/quote/FB211217C00180000?p=FB211217C00180000" xr:uid="{E2DFDE00-0B75-4812-8356-F0B3E982B07C}"/>
    <hyperlink ref="C17" r:id="rId14" display="https://finance.yahoo.com/quote/FB/options?strike=180&amp;straddle=false" xr:uid="{C97CFFC4-3BBF-4616-B737-8193CF428C04}"/>
    <hyperlink ref="A18" r:id="rId15" display="https://finance.yahoo.com/quote/FB211217C00185000?p=FB211217C00185000" xr:uid="{3EFC0A05-FC71-461B-8323-4C2D3341591D}"/>
    <hyperlink ref="C18" r:id="rId16" display="https://finance.yahoo.com/quote/FB/options?strike=185&amp;straddle=false" xr:uid="{8447A979-B770-4CA8-94AA-79B22C17EA5B}"/>
    <hyperlink ref="A19" r:id="rId17" display="https://finance.yahoo.com/quote/FB211217C00190000?p=FB211217C00190000" xr:uid="{5F98647F-30A4-440A-AA1E-AA5C507A399E}"/>
    <hyperlink ref="C19" r:id="rId18" display="https://finance.yahoo.com/quote/FB/options?strike=190&amp;straddle=false" xr:uid="{12536DAB-75D8-479B-B2A5-2F3457ED60B8}"/>
    <hyperlink ref="A20" r:id="rId19" display="https://finance.yahoo.com/quote/FB211217C00195000?p=FB211217C00195000" xr:uid="{894F5D55-E23E-431C-842C-B7A3F931FBB5}"/>
    <hyperlink ref="C20" r:id="rId20" display="https://finance.yahoo.com/quote/FB/options?strike=195&amp;straddle=false" xr:uid="{B7D83AFA-C86A-4E78-A6D3-09B3D0B999CF}"/>
    <hyperlink ref="A21" r:id="rId21" display="https://finance.yahoo.com/quote/FB211217C00200000?p=FB211217C00200000" xr:uid="{E78F9761-AA3C-4488-BAFF-C7C30C80F013}"/>
    <hyperlink ref="C21" r:id="rId22" display="https://finance.yahoo.com/quote/FB/options?strike=200&amp;straddle=false" xr:uid="{F1310E56-ED78-4991-AE9B-42A22C3EE5C6}"/>
    <hyperlink ref="A22" r:id="rId23" display="https://finance.yahoo.com/quote/FB211217C00205000?p=FB211217C00205000" xr:uid="{522FA938-7723-4D8A-8D23-ADE2F68703B9}"/>
    <hyperlink ref="C22" r:id="rId24" display="https://finance.yahoo.com/quote/FB/options?strike=205&amp;straddle=false" xr:uid="{2E6A5301-B47F-46EE-9E86-72C3A09578DF}"/>
    <hyperlink ref="A23" r:id="rId25" display="https://finance.yahoo.com/quote/FB211217C00210000?p=FB211217C00210000" xr:uid="{A64CF395-8BE3-4A54-8ECD-E65903251144}"/>
    <hyperlink ref="C23" r:id="rId26" display="https://finance.yahoo.com/quote/FB/options?strike=210&amp;straddle=false" xr:uid="{6ED85ABB-F0AF-4A0A-A609-DEAC19CD8E5F}"/>
    <hyperlink ref="A24" r:id="rId27" display="https://finance.yahoo.com/quote/FB211217C00215000?p=FB211217C00215000" xr:uid="{0C2D4652-0966-4E8A-8C87-9CD1D340F6FF}"/>
    <hyperlink ref="C24" r:id="rId28" display="https://finance.yahoo.com/quote/FB/options?strike=215&amp;straddle=false" xr:uid="{7714878C-E1F7-4190-A19B-FCEC255EF733}"/>
    <hyperlink ref="A25" r:id="rId29" display="https://finance.yahoo.com/quote/FB211217C00220000?p=FB211217C00220000" xr:uid="{6A6BF02E-EDA1-462F-BFAC-FD4E9551651B}"/>
    <hyperlink ref="C25" r:id="rId30" display="https://finance.yahoo.com/quote/FB/options?strike=220&amp;straddle=false" xr:uid="{DE1B553E-B830-4735-BBE6-6E7A129DCD2B}"/>
    <hyperlink ref="A26" r:id="rId31" display="https://finance.yahoo.com/quote/FB211217C00225000?p=FB211217C00225000" xr:uid="{E4124C63-EB55-4D6D-822C-1638247EF1F9}"/>
    <hyperlink ref="C26" r:id="rId32" display="https://finance.yahoo.com/quote/FB/options?strike=225&amp;straddle=false" xr:uid="{3E8A887F-64B6-4524-A914-ED2FC207458C}"/>
    <hyperlink ref="A27" r:id="rId33" display="https://finance.yahoo.com/quote/FB211217C00230000?p=FB211217C00230000" xr:uid="{DA03A424-C624-4BAE-AB69-5E5B83343B8A}"/>
    <hyperlink ref="C27" r:id="rId34" display="https://finance.yahoo.com/quote/FB/options?strike=230&amp;straddle=false" xr:uid="{FEF0EAC5-969E-48FB-A41D-E828EC5F8F57}"/>
    <hyperlink ref="A28" r:id="rId35" display="https://finance.yahoo.com/quote/FB211217C00235000?p=FB211217C00235000" xr:uid="{6C70B215-1864-4214-AE81-D55581C76DE8}"/>
    <hyperlink ref="C28" r:id="rId36" display="https://finance.yahoo.com/quote/FB/options?strike=235&amp;straddle=false" xr:uid="{93C3AE37-F601-4E1B-A897-AC837295F296}"/>
    <hyperlink ref="A29" r:id="rId37" display="https://finance.yahoo.com/quote/FB211217C00240000?p=FB211217C00240000" xr:uid="{100BDD2D-4305-4F9E-9B47-171F73107569}"/>
    <hyperlink ref="C29" r:id="rId38" display="https://finance.yahoo.com/quote/FB/options?strike=240&amp;straddle=false" xr:uid="{19F36B4C-3D1E-47AF-9140-513F7D21CEE3}"/>
    <hyperlink ref="A30" r:id="rId39" display="https://finance.yahoo.com/quote/FB211217C00245000?p=FB211217C00245000" xr:uid="{D921D343-0445-4C34-8F4E-25AB231DD20A}"/>
    <hyperlink ref="C30" r:id="rId40" display="https://finance.yahoo.com/quote/FB/options?strike=245&amp;straddle=false" xr:uid="{E1268EDF-FAD8-468B-A8CE-A6A4EF337A6C}"/>
    <hyperlink ref="A31" r:id="rId41" display="https://finance.yahoo.com/quote/FB211217C00250000?p=FB211217C00250000" xr:uid="{9B8A9EB4-ADDE-45BE-A1B0-B6863B98F1C3}"/>
    <hyperlink ref="C31" r:id="rId42" display="https://finance.yahoo.com/quote/FB/options?strike=250&amp;straddle=false" xr:uid="{9F7A927D-9B3A-40F4-B02B-119E2BF4882E}"/>
    <hyperlink ref="A32" r:id="rId43" display="https://finance.yahoo.com/quote/FB211217C00255000?p=FB211217C00255000" xr:uid="{FDC1658A-8112-4835-AE84-CC10882BDF3F}"/>
    <hyperlink ref="C32" r:id="rId44" display="https://finance.yahoo.com/quote/FB/options?strike=255&amp;straddle=false" xr:uid="{A2EF7B74-1C44-4280-8CC4-9063467F4C71}"/>
    <hyperlink ref="A33" r:id="rId45" display="https://finance.yahoo.com/quote/FB211217C00260000?p=FB211217C00260000" xr:uid="{4A9C9750-F65D-4343-90D7-4186ABE5BCDA}"/>
    <hyperlink ref="C33" r:id="rId46" display="https://finance.yahoo.com/quote/FB/options?strike=260&amp;straddle=false" xr:uid="{AD58FBB7-8AD3-4132-86C2-711401B358AC}"/>
    <hyperlink ref="A34" r:id="rId47" display="https://finance.yahoo.com/quote/FB211217C00265000?p=FB211217C00265000" xr:uid="{5E656EA8-D74B-4FFA-8B46-96BE0906A434}"/>
    <hyperlink ref="C34" r:id="rId48" display="https://finance.yahoo.com/quote/FB/options?strike=265&amp;straddle=false" xr:uid="{343CC7CA-E2D8-48DE-809A-1C1EC27CD723}"/>
    <hyperlink ref="A35" r:id="rId49" display="https://finance.yahoo.com/quote/FB211217C00270000?p=FB211217C00270000" xr:uid="{8833E732-B80A-4A47-BF68-3FBDCE776C03}"/>
    <hyperlink ref="C35" r:id="rId50" display="https://finance.yahoo.com/quote/FB/options?strike=270&amp;straddle=false" xr:uid="{DEBCE228-9AF5-4799-9C79-160F6B7CB739}"/>
    <hyperlink ref="A36" r:id="rId51" display="https://finance.yahoo.com/quote/FB211217C00275000?p=FB211217C00275000" xr:uid="{7729CC04-0F91-438D-868E-E122AEF2A1E5}"/>
    <hyperlink ref="C36" r:id="rId52" display="https://finance.yahoo.com/quote/FB/options?strike=275&amp;straddle=false" xr:uid="{52649338-D48E-4DAD-B3B2-6FBCE604C7A8}"/>
    <hyperlink ref="A37" r:id="rId53" display="https://finance.yahoo.com/quote/FB211217C00280000?p=FB211217C00280000" xr:uid="{F6E2940E-C521-46BD-9A6E-55B2AEC68D74}"/>
    <hyperlink ref="C37" r:id="rId54" display="https://finance.yahoo.com/quote/FB/options?strike=280&amp;straddle=false" xr:uid="{789B66C1-71A3-49BE-8D3C-77634593E38D}"/>
    <hyperlink ref="A38" r:id="rId55" display="https://finance.yahoo.com/quote/FB211217C00285000?p=FB211217C00285000" xr:uid="{16C0AF23-7ECF-46D8-B8F4-03EB5963C048}"/>
    <hyperlink ref="C38" r:id="rId56" display="https://finance.yahoo.com/quote/FB/options?strike=285&amp;straddle=false" xr:uid="{847D1651-B8FF-4017-A71C-8B6577EB49B9}"/>
    <hyperlink ref="A39" r:id="rId57" display="https://finance.yahoo.com/quote/FB211217C00290000?p=FB211217C00290000" xr:uid="{B36139FF-094C-44E9-A328-03C7A3EBEB1B}"/>
    <hyperlink ref="C39" r:id="rId58" display="https://finance.yahoo.com/quote/FB/options?strike=290&amp;straddle=false" xr:uid="{E687B0C7-3713-48D7-B3E6-05D471874272}"/>
    <hyperlink ref="A40" r:id="rId59" display="https://finance.yahoo.com/quote/FB211217C00295000?p=FB211217C00295000" xr:uid="{7FF2E574-3994-4EC8-95C6-B5156A8F2F45}"/>
    <hyperlink ref="C40" r:id="rId60" display="https://finance.yahoo.com/quote/FB/options?strike=295&amp;straddle=false" xr:uid="{FB565EFB-B200-43E2-8A14-E1D9799F3B2E}"/>
    <hyperlink ref="A41" r:id="rId61" display="https://finance.yahoo.com/quote/FB211217C00300000?p=FB211217C00300000" xr:uid="{0F8BD266-B2B5-4074-BE42-DF4F0AE613D1}"/>
    <hyperlink ref="C41" r:id="rId62" display="https://finance.yahoo.com/quote/FB/options?strike=300&amp;straddle=false" xr:uid="{A0AC8062-B56D-46F0-A0F4-CD19A80AC204}"/>
    <hyperlink ref="A42" r:id="rId63" display="https://finance.yahoo.com/quote/FB211217C00305000?p=FB211217C00305000" xr:uid="{8A40A2CC-4A2C-44CC-B55E-1A227E6B62C7}"/>
    <hyperlink ref="C42" r:id="rId64" display="https://finance.yahoo.com/quote/FB/options?strike=305&amp;straddle=false" xr:uid="{059AFACE-09AB-4B5E-9ADD-FC4BF349922F}"/>
    <hyperlink ref="A43" r:id="rId65" display="https://finance.yahoo.com/quote/FB211217C00310000?p=FB211217C00310000" xr:uid="{14FF591C-8C1C-4127-9A34-89F0EB72F87D}"/>
    <hyperlink ref="C43" r:id="rId66" display="https://finance.yahoo.com/quote/FB/options?strike=310&amp;straddle=false" xr:uid="{E70D4420-B9E6-474B-9DDD-998474A15996}"/>
    <hyperlink ref="A44" r:id="rId67" display="https://finance.yahoo.com/quote/FB211217C00315000?p=FB211217C00315000" xr:uid="{F4386246-90B7-431E-8E03-B44DB3038A5C}"/>
    <hyperlink ref="C44" r:id="rId68" display="https://finance.yahoo.com/quote/FB/options?strike=315&amp;straddle=false" xr:uid="{23CA08A0-7E91-450C-ACC3-FA85854273D5}"/>
    <hyperlink ref="A45" r:id="rId69" display="https://finance.yahoo.com/quote/FB211217C00320000?p=FB211217C00320000" xr:uid="{1448F8F5-B33C-4A10-8147-D244A69B9922}"/>
    <hyperlink ref="C45" r:id="rId70" display="https://finance.yahoo.com/quote/FB/options?strike=320&amp;straddle=false" xr:uid="{77024C15-7041-40F4-A4C6-9FCD70123586}"/>
    <hyperlink ref="A46" r:id="rId71" display="https://finance.yahoo.com/quote/FB211217C00325000?p=FB211217C00325000" xr:uid="{EEACD6C2-93E8-4A97-89DB-477C3E090ED9}"/>
    <hyperlink ref="C46" r:id="rId72" display="https://finance.yahoo.com/quote/FB/options?strike=325&amp;straddle=false" xr:uid="{260481B2-B3C1-4563-8A30-E30D234B1428}"/>
    <hyperlink ref="A47" r:id="rId73" display="https://finance.yahoo.com/quote/FB211217C00330000?p=FB211217C00330000" xr:uid="{0D9E2960-5661-43F7-88BE-C107CBD2D1CB}"/>
    <hyperlink ref="C47" r:id="rId74" display="https://finance.yahoo.com/quote/FB/options?strike=330&amp;straddle=false" xr:uid="{8159C392-8632-4D03-83E0-0C91A2F51E9F}"/>
    <hyperlink ref="A48" r:id="rId75" display="https://finance.yahoo.com/quote/FB211217C00335000?p=FB211217C00335000" xr:uid="{2C100B1D-5765-43F9-94C9-8FAE321A3319}"/>
    <hyperlink ref="C48" r:id="rId76" display="https://finance.yahoo.com/quote/FB/options?strike=335&amp;straddle=false" xr:uid="{B27EF05F-C74C-4E4F-A55F-10C691762DBF}"/>
    <hyperlink ref="A49" r:id="rId77" display="https://finance.yahoo.com/quote/FB211217C00340000?p=FB211217C00340000" xr:uid="{4AA2F15F-F7FD-448C-96E7-17C068C641D2}"/>
    <hyperlink ref="C49" r:id="rId78" display="https://finance.yahoo.com/quote/FB/options?strike=340&amp;straddle=false" xr:uid="{5341BF1E-4C4F-4869-B1C4-E42EA5EBD2B0}"/>
    <hyperlink ref="A50" r:id="rId79" display="https://finance.yahoo.com/quote/FB211217C00345000?p=FB211217C00345000" xr:uid="{524E0E20-AE27-41E3-8B96-F3B3DF141495}"/>
    <hyperlink ref="C50" r:id="rId80" display="https://finance.yahoo.com/quote/FB/options?strike=345&amp;straddle=false" xr:uid="{F353A8B9-1DB7-420F-976E-0FF5B163ECBD}"/>
    <hyperlink ref="A51" r:id="rId81" display="https://finance.yahoo.com/quote/FB211217C00350000?p=FB211217C00350000" xr:uid="{75A60525-1FF0-4B78-B429-BAC9CB56C353}"/>
    <hyperlink ref="C51" r:id="rId82" display="https://finance.yahoo.com/quote/FB/options?strike=350&amp;straddle=false" xr:uid="{18C86295-2BEC-4C3C-9BF7-65D0003BE314}"/>
    <hyperlink ref="A52" r:id="rId83" display="https://finance.yahoo.com/quote/FB211217C00355000?p=FB211217C00355000" xr:uid="{6FACFE10-F023-4C4D-9E2A-8A38CAED2F7A}"/>
    <hyperlink ref="C52" r:id="rId84" display="https://finance.yahoo.com/quote/FB/options?strike=355&amp;straddle=false" xr:uid="{0D3D584F-CCB2-4E76-A59D-2AAE42267F2C}"/>
    <hyperlink ref="A53" r:id="rId85" display="https://finance.yahoo.com/quote/FB211217C00360000?p=FB211217C00360000" xr:uid="{96BE8AF0-CF9B-4A18-A0A7-55D270EE6B27}"/>
    <hyperlink ref="C53" r:id="rId86" display="https://finance.yahoo.com/quote/FB/options?strike=360&amp;straddle=false" xr:uid="{A3439ABE-3369-4CB7-A536-26E6080D1DB4}"/>
    <hyperlink ref="A54" r:id="rId87" display="https://finance.yahoo.com/quote/FB211217C00365000?p=FB211217C00365000" xr:uid="{8E2F4E77-D4CE-4A19-A825-2A3FB736F96A}"/>
    <hyperlink ref="C54" r:id="rId88" display="https://finance.yahoo.com/quote/FB/options?strike=365&amp;straddle=false" xr:uid="{BE166B78-03E3-4E8B-9337-97439C7D49E8}"/>
    <hyperlink ref="A55" r:id="rId89" display="https://finance.yahoo.com/quote/FB211217C00370000?p=FB211217C00370000" xr:uid="{B108E13D-705E-4AA8-96BF-BC6FFFA1D2F9}"/>
    <hyperlink ref="C55" r:id="rId90" display="https://finance.yahoo.com/quote/FB/options?strike=370&amp;straddle=false" xr:uid="{C6ACF35D-2684-4A10-AF8C-9595EA8F68FF}"/>
    <hyperlink ref="A56" r:id="rId91" display="https://finance.yahoo.com/quote/FB211217C00375000?p=FB211217C00375000" xr:uid="{3719C685-D9C3-49F9-BA0A-9CFF75130146}"/>
    <hyperlink ref="C56" r:id="rId92" display="https://finance.yahoo.com/quote/FB/options?strike=375&amp;straddle=false" xr:uid="{4EAA1CCF-B055-4430-9923-78099FDBC19B}"/>
    <hyperlink ref="A57" r:id="rId93" display="https://finance.yahoo.com/quote/FB211217C00380000?p=FB211217C00380000" xr:uid="{019C6849-2412-48DE-9752-B31807AFCA71}"/>
    <hyperlink ref="C57" r:id="rId94" display="https://finance.yahoo.com/quote/FB/options?strike=380&amp;straddle=false" xr:uid="{B461C831-4877-4EB9-B379-06B96913DE8C}"/>
    <hyperlink ref="A58" r:id="rId95" display="https://finance.yahoo.com/quote/FB211217C00385000?p=FB211217C00385000" xr:uid="{F88FF374-D7FB-48F6-B855-3A8D5F7F6FD8}"/>
    <hyperlink ref="C58" r:id="rId96" display="https://finance.yahoo.com/quote/FB/options?strike=385&amp;straddle=false" xr:uid="{2AD628E0-C72F-49CD-97E5-08AE55162EC9}"/>
    <hyperlink ref="A59" r:id="rId97" display="https://finance.yahoo.com/quote/FB211217C00390000?p=FB211217C00390000" xr:uid="{90F80752-21D0-42B8-93A0-9793426E9F52}"/>
    <hyperlink ref="C59" r:id="rId98" display="https://finance.yahoo.com/quote/FB/options?strike=390&amp;straddle=false" xr:uid="{AF8033BC-81C2-4AE4-A236-0D693FCD6BBF}"/>
    <hyperlink ref="A60" r:id="rId99" display="https://finance.yahoo.com/quote/FB211217C00395000?p=FB211217C00395000" xr:uid="{AA4AC3AA-1B47-49DA-BF65-C262062F5D53}"/>
    <hyperlink ref="C60" r:id="rId100" display="https://finance.yahoo.com/quote/FB/options?strike=395&amp;straddle=false" xr:uid="{ED83F80F-2B8E-4BFF-8D58-926DCFE9A354}"/>
    <hyperlink ref="A61" r:id="rId101" display="https://finance.yahoo.com/quote/FB211217C00400000?p=FB211217C00400000" xr:uid="{356C0E29-B8C4-4DF8-B0C5-A18D818BCA12}"/>
    <hyperlink ref="C61" r:id="rId102" display="https://finance.yahoo.com/quote/FB/options?strike=400&amp;straddle=false" xr:uid="{91E58A32-2CFE-42F9-81F2-6FC4B2D17D40}"/>
    <hyperlink ref="A62" r:id="rId103" display="https://finance.yahoo.com/quote/FB211217C00405000?p=FB211217C00405000" xr:uid="{4F4ED730-6714-4692-B931-F6104D9FE46E}"/>
    <hyperlink ref="C62" r:id="rId104" display="https://finance.yahoo.com/quote/FB/options?strike=405&amp;straddle=false" xr:uid="{D96DA7DF-6134-41A7-9815-0B284ED023AE}"/>
    <hyperlink ref="A63" r:id="rId105" display="https://finance.yahoo.com/quote/FB211217C00410000?p=FB211217C00410000" xr:uid="{FDC2451F-D2A1-451A-8C01-63B51B1780F9}"/>
    <hyperlink ref="C63" r:id="rId106" display="https://finance.yahoo.com/quote/FB/options?strike=410&amp;straddle=false" xr:uid="{6D817561-3636-457B-9AD2-3F0FB4B4BCD0}"/>
    <hyperlink ref="A64" r:id="rId107" display="https://finance.yahoo.com/quote/FB211217C00415000?p=FB211217C00415000" xr:uid="{6ACFD2B7-B485-405A-B664-7CBACF27EF23}"/>
    <hyperlink ref="C64" r:id="rId108" display="https://finance.yahoo.com/quote/FB/options?strike=415&amp;straddle=false" xr:uid="{8E8354D2-11AA-4AA6-AD62-74E72AE94340}"/>
    <hyperlink ref="A65" r:id="rId109" display="https://finance.yahoo.com/quote/FB211217C00420000?p=FB211217C00420000" xr:uid="{B325ADFA-4FA2-4C28-B297-EDD49187E6E1}"/>
    <hyperlink ref="C65" r:id="rId110" display="https://finance.yahoo.com/quote/FB/options?strike=420&amp;straddle=false" xr:uid="{14C6D604-953C-44CD-A562-D68C710A5725}"/>
    <hyperlink ref="A66" r:id="rId111" display="https://finance.yahoo.com/quote/FB211217C00425000?p=FB211217C00425000" xr:uid="{912A8D7E-923B-488A-BCD0-42965A8E5BEF}"/>
    <hyperlink ref="C66" r:id="rId112" display="https://finance.yahoo.com/quote/FB/options?strike=425&amp;straddle=false" xr:uid="{1B402E66-1B33-4190-A8AE-7E19536DF68A}"/>
    <hyperlink ref="A67" r:id="rId113" display="https://finance.yahoo.com/quote/FB211217C00430000?p=FB211217C00430000" xr:uid="{6B370C6D-A8E8-4620-92E1-29EBF8ECB361}"/>
    <hyperlink ref="C67" r:id="rId114" display="https://finance.yahoo.com/quote/FB/options?strike=430&amp;straddle=false" xr:uid="{7C467FC9-578C-4CE9-9E2E-75814AE2867B}"/>
    <hyperlink ref="A68" r:id="rId115" display="https://finance.yahoo.com/quote/FB211217C00435000?p=FB211217C00435000" xr:uid="{CFC4A5BA-3DF0-4B8F-A610-0EA9A78BC3AE}"/>
    <hyperlink ref="C68" r:id="rId116" display="https://finance.yahoo.com/quote/FB/options?strike=435&amp;straddle=false" xr:uid="{BA3AFEEE-DBE0-4F0D-B903-C5C1F6037EAD}"/>
    <hyperlink ref="A69" r:id="rId117" display="https://finance.yahoo.com/quote/FB211217C00440000?p=FB211217C00440000" xr:uid="{24C6EB00-25E6-489C-AB5C-28A2064F4D23}"/>
    <hyperlink ref="C69" r:id="rId118" display="https://finance.yahoo.com/quote/FB/options?strike=440&amp;straddle=false" xr:uid="{801D8007-DA7A-40C3-982A-10BDC2E09C98}"/>
    <hyperlink ref="A70" r:id="rId119" display="https://finance.yahoo.com/quote/FB211217C00445000?p=FB211217C00445000" xr:uid="{F9222A8C-5473-40DB-8D6B-A044041FBF8E}"/>
    <hyperlink ref="C70" r:id="rId120" display="https://finance.yahoo.com/quote/FB/options?strike=445&amp;straddle=false" xr:uid="{DC10747A-2D40-4759-B403-BA0F939968A7}"/>
    <hyperlink ref="A71" r:id="rId121" display="https://finance.yahoo.com/quote/FB211217C00450000?p=FB211217C00450000" xr:uid="{39DF8B93-3D52-49C0-B7D2-3ED4D5F1C990}"/>
    <hyperlink ref="C71" r:id="rId122" display="https://finance.yahoo.com/quote/FB/options?strike=450&amp;straddle=false" xr:uid="{547A83E9-499D-4272-B23E-8AA4EA136398}"/>
    <hyperlink ref="A72" r:id="rId123" display="https://finance.yahoo.com/quote/FB211217C00455000?p=FB211217C00455000" xr:uid="{65CABAC7-18F0-4672-A549-33F18E991EC7}"/>
    <hyperlink ref="C72" r:id="rId124" display="https://finance.yahoo.com/quote/FB/options?strike=455&amp;straddle=false" xr:uid="{27FCE9BF-B999-4DB4-A849-C2B146296A38}"/>
    <hyperlink ref="A73" r:id="rId125" display="https://finance.yahoo.com/quote/FB211217C00460000?p=FB211217C00460000" xr:uid="{DD652F83-DDF4-428D-8F6C-CE49CF069000}"/>
    <hyperlink ref="C73" r:id="rId126" display="https://finance.yahoo.com/quote/FB/options?strike=460&amp;straddle=false" xr:uid="{1AFA6366-959B-481D-8A96-0C09A94EA504}"/>
    <hyperlink ref="A74" r:id="rId127" display="https://finance.yahoo.com/quote/FB211217C00465000?p=FB211217C00465000" xr:uid="{128CE77E-A45D-4688-861A-888BF8E7ECC6}"/>
    <hyperlink ref="C74" r:id="rId128" display="https://finance.yahoo.com/quote/FB/options?strike=465&amp;straddle=false" xr:uid="{6217695F-1363-4E6E-AF5D-B42EA9B8BBA2}"/>
    <hyperlink ref="A75" r:id="rId129" display="https://finance.yahoo.com/quote/FB211217C00470000?p=FB211217C00470000" xr:uid="{6F110DB7-057F-4D31-AFA9-EF704BF6236B}"/>
    <hyperlink ref="C75" r:id="rId130" display="https://finance.yahoo.com/quote/FB/options?strike=470&amp;straddle=false" xr:uid="{B414FB5D-5C98-49BA-800C-A56D169AD782}"/>
    <hyperlink ref="A76" r:id="rId131" display="https://finance.yahoo.com/quote/FB211217C00475000?p=FB211217C00475000" xr:uid="{EDD64BC5-1361-4648-A172-723EE6F9CF8C}"/>
    <hyperlink ref="C76" r:id="rId132" display="https://finance.yahoo.com/quote/FB/options?strike=475&amp;straddle=false" xr:uid="{4F3DDE73-49B0-4F34-9D32-DA8F84769DAB}"/>
    <hyperlink ref="A77" r:id="rId133" display="https://finance.yahoo.com/quote/FB211217C00480000?p=FB211217C00480000" xr:uid="{E4158609-E87E-489F-9C25-1D64495C169C}"/>
    <hyperlink ref="C77" r:id="rId134" display="https://finance.yahoo.com/quote/FB/options?strike=480&amp;straddle=false" xr:uid="{8F4EC3D6-B423-49F3-AFF8-B810D5F6C05F}"/>
    <hyperlink ref="A78" r:id="rId135" display="https://finance.yahoo.com/quote/FB211217C00485000?p=FB211217C00485000" xr:uid="{5245272B-17E8-4272-A80E-F407626C996B}"/>
    <hyperlink ref="C78" r:id="rId136" display="https://finance.yahoo.com/quote/FB/options?strike=485&amp;straddle=false" xr:uid="{3DDB5938-7356-48D3-BE9F-94C07C8025A9}"/>
    <hyperlink ref="A79" r:id="rId137" display="https://finance.yahoo.com/quote/FB211217C00490000?p=FB211217C00490000" xr:uid="{E36C3AC7-05C5-43A9-B450-4A7015B70498}"/>
    <hyperlink ref="C79" r:id="rId138" display="https://finance.yahoo.com/quote/FB/options?strike=490&amp;straddle=false" xr:uid="{88B07E58-BC53-41BC-BE64-99DCD2C8671C}"/>
    <hyperlink ref="A80" r:id="rId139" display="https://finance.yahoo.com/quote/FB211217C00495000?p=FB211217C00495000" xr:uid="{F0B48CCF-A2B1-4949-A19B-4478AC43A33E}"/>
    <hyperlink ref="C80" r:id="rId140" display="https://finance.yahoo.com/quote/FB/options?strike=495&amp;straddle=false" xr:uid="{BE930B36-28BC-4482-82D2-7A89725E8EB4}"/>
    <hyperlink ref="A81" r:id="rId141" display="https://finance.yahoo.com/quote/FB211217C00500000?p=FB211217C00500000" xr:uid="{9E7FE0D1-10CE-4545-9505-CAB750C327FB}"/>
    <hyperlink ref="C81" r:id="rId142" display="https://finance.yahoo.com/quote/FB/options?strike=500&amp;straddle=false" xr:uid="{6704E682-9B95-46E7-AEAF-8397B2314A80}"/>
    <hyperlink ref="A82" r:id="rId143" display="https://finance.yahoo.com/quote/FB211217C00505000?p=FB211217C00505000" xr:uid="{4438BD87-FE15-416F-8F29-154708E0FBF0}"/>
    <hyperlink ref="C82" r:id="rId144" display="https://finance.yahoo.com/quote/FB/options?strike=505&amp;straddle=false" xr:uid="{7BAFFE27-6D51-4F62-BAA5-AD6262CEDF18}"/>
    <hyperlink ref="A83" r:id="rId145" display="https://finance.yahoo.com/quote/FB211217C00510000?p=FB211217C00510000" xr:uid="{A0FEC1B3-4ECA-4A56-A518-27141F9BDB93}"/>
    <hyperlink ref="C83" r:id="rId146" display="https://finance.yahoo.com/quote/FB/options?strike=510&amp;straddle=false" xr:uid="{7B54143B-10C1-49CE-9F03-9DB9259A8F4E}"/>
    <hyperlink ref="A84" r:id="rId147" display="https://finance.yahoo.com/quote/FB211217C00515000?p=FB211217C00515000" xr:uid="{B1C1FCA2-22FA-4F29-8830-502FEA5FD993}"/>
    <hyperlink ref="C84" r:id="rId148" display="https://finance.yahoo.com/quote/FB/options?strike=515&amp;straddle=false" xr:uid="{ED20409F-5B31-4E26-94DC-5702E97673EF}"/>
    <hyperlink ref="A85" r:id="rId149" display="https://finance.yahoo.com/quote/FB211217C00520000?p=FB211217C00520000" xr:uid="{92557C72-B556-463F-9566-D6278ADE49F2}"/>
    <hyperlink ref="C85" r:id="rId150" display="https://finance.yahoo.com/quote/FB/options?strike=520&amp;straddle=false" xr:uid="{79EA2247-A4C4-40D5-A205-9E90D57152B3}"/>
    <hyperlink ref="A86" r:id="rId151" display="https://finance.yahoo.com/quote/FB211217C00525000?p=FB211217C00525000" xr:uid="{76123E11-BF28-4F15-8AE7-9ACB7D5DB7D7}"/>
    <hyperlink ref="C86" r:id="rId152" display="https://finance.yahoo.com/quote/FB/options?strike=525&amp;straddle=false" xr:uid="{1F70A424-1E13-4948-892D-2F1F12B41212}"/>
    <hyperlink ref="A87" r:id="rId153" display="https://finance.yahoo.com/quote/FB211217C00530000?p=FB211217C00530000" xr:uid="{720A2619-4A09-4B30-BEBA-3F2BE14C2816}"/>
    <hyperlink ref="C87" r:id="rId154" display="https://finance.yahoo.com/quote/FB/options?strike=530&amp;straddle=false" xr:uid="{21DD8E54-BDFE-47D2-8834-E57DD03674AC}"/>
    <hyperlink ref="A88" r:id="rId155" display="https://finance.yahoo.com/quote/FB211217C00535000?p=FB211217C00535000" xr:uid="{C1B2622C-8C26-4EA9-B993-B0C761908993}"/>
    <hyperlink ref="C88" r:id="rId156" display="https://finance.yahoo.com/quote/FB/options?strike=535&amp;straddle=false" xr:uid="{4F04CA82-CFF9-4400-A714-FFA0521600DF}"/>
    <hyperlink ref="A89" r:id="rId157" display="https://finance.yahoo.com/quote/FB211217C00540000?p=FB211217C00540000" xr:uid="{75180707-7B4E-4069-BC2F-63123D8F58EA}"/>
    <hyperlink ref="C89" r:id="rId158" display="https://finance.yahoo.com/quote/FB/options?strike=540&amp;straddle=false" xr:uid="{A06E3542-0534-423A-845E-9E83E13C458C}"/>
    <hyperlink ref="A90" r:id="rId159" display="https://finance.yahoo.com/quote/FB211217C00550000?p=FB211217C00550000" xr:uid="{4A694A3A-4527-4AF6-B16D-CFE9812BCACF}"/>
    <hyperlink ref="C90" r:id="rId160" display="https://finance.yahoo.com/quote/FB/options?strike=550&amp;straddle=false" xr:uid="{1A4A53ED-7197-4C1B-98BB-F9D698ADCF66}"/>
    <hyperlink ref="A91" r:id="rId161" display="https://finance.yahoo.com/quote/FB211217C00560000?p=FB211217C00560000" xr:uid="{5FB07491-F31C-4BD0-B7AC-9306E209090A}"/>
    <hyperlink ref="C91" r:id="rId162" display="https://finance.yahoo.com/quote/FB/options?strike=560&amp;straddle=false" xr:uid="{E5CA6445-556A-461C-9759-833638C64125}"/>
    <hyperlink ref="A94" r:id="rId163" display="https://finance.yahoo.com/quote/FB211217P00150000?p=FB211217P00150000" xr:uid="{C6D2CD39-1234-4324-94DC-F7AACBF7E99F}"/>
    <hyperlink ref="C94" r:id="rId164" display="https://finance.yahoo.com/quote/FB/options?strike=150&amp;straddle=false" xr:uid="{1DAD2303-59B8-4A3E-BBA5-81FD5270BD8D}"/>
    <hyperlink ref="A95" r:id="rId165" display="https://finance.yahoo.com/quote/FB211217P00155000?p=FB211217P00155000" xr:uid="{3F2DDBF5-CC93-46A0-A730-929971E8DF2B}"/>
    <hyperlink ref="C95" r:id="rId166" display="https://finance.yahoo.com/quote/FB/options?strike=155&amp;straddle=false" xr:uid="{BBD62799-39A3-4199-B813-F9B9F7259592}"/>
    <hyperlink ref="A96" r:id="rId167" display="https://finance.yahoo.com/quote/FB211217P00160000?p=FB211217P00160000" xr:uid="{A225B0A7-C61E-4362-9E0D-0BB9D5E94303}"/>
    <hyperlink ref="C96" r:id="rId168" display="https://finance.yahoo.com/quote/FB/options?strike=160&amp;straddle=false" xr:uid="{3787B5E4-0FCB-46A1-8C07-7B95AE1C6ABE}"/>
    <hyperlink ref="A97" r:id="rId169" display="https://finance.yahoo.com/quote/FB211217P00165000?p=FB211217P00165000" xr:uid="{E1083DD9-3F23-40B2-A4CF-1E7F850128F9}"/>
    <hyperlink ref="C97" r:id="rId170" display="https://finance.yahoo.com/quote/FB/options?strike=165&amp;straddle=false" xr:uid="{ADB609E2-125C-4197-8DF7-71815BE3AAE1}"/>
    <hyperlink ref="A98" r:id="rId171" display="https://finance.yahoo.com/quote/FB211217P00170000?p=FB211217P00170000" xr:uid="{407DC851-3868-4EDF-937B-918F5C58090A}"/>
    <hyperlink ref="C98" r:id="rId172" display="https://finance.yahoo.com/quote/FB/options?strike=170&amp;straddle=false" xr:uid="{BE31FAD0-6CA6-43C9-9CC9-3151E9342D52}"/>
    <hyperlink ref="A99" r:id="rId173" display="https://finance.yahoo.com/quote/FB211217P00175000?p=FB211217P00175000" xr:uid="{102DCD16-AFE0-47A1-B904-AAEE436B195F}"/>
    <hyperlink ref="C99" r:id="rId174" display="https://finance.yahoo.com/quote/FB/options?strike=175&amp;straddle=false" xr:uid="{CAB68140-2292-4A50-98FD-DE9DCC32065D}"/>
    <hyperlink ref="A100" r:id="rId175" display="https://finance.yahoo.com/quote/FB211217P00180000?p=FB211217P00180000" xr:uid="{90A74FE0-5169-465E-A3A8-D54730D837EF}"/>
    <hyperlink ref="C100" r:id="rId176" display="https://finance.yahoo.com/quote/FB/options?strike=180&amp;straddle=false" xr:uid="{09C2B60B-06CF-4D5E-BCBB-C291CA564E52}"/>
    <hyperlink ref="A101" r:id="rId177" display="https://finance.yahoo.com/quote/FB211217P00185000?p=FB211217P00185000" xr:uid="{4601FD51-AF1B-4401-9910-F038A7F1B1BD}"/>
    <hyperlink ref="C101" r:id="rId178" display="https://finance.yahoo.com/quote/FB/options?strike=185&amp;straddle=false" xr:uid="{3DADE914-8557-4286-BDD7-C8EE4B148906}"/>
    <hyperlink ref="A102" r:id="rId179" display="https://finance.yahoo.com/quote/FB211217P00190000?p=FB211217P00190000" xr:uid="{933A898A-44C5-4D6A-B8B0-6C3B1722E701}"/>
    <hyperlink ref="C102" r:id="rId180" display="https://finance.yahoo.com/quote/FB/options?strike=190&amp;straddle=false" xr:uid="{251DF6FA-B2FE-48E3-BE27-3E1374C0DE13}"/>
    <hyperlink ref="A103" r:id="rId181" display="https://finance.yahoo.com/quote/FB211217P00195000?p=FB211217P00195000" xr:uid="{A3485EC7-FF96-4031-969F-D0D961F9E110}"/>
    <hyperlink ref="C103" r:id="rId182" display="https://finance.yahoo.com/quote/FB/options?strike=195&amp;straddle=false" xr:uid="{559338D6-E1D8-4266-A791-F05F49CD92B7}"/>
    <hyperlink ref="A104" r:id="rId183" display="https://finance.yahoo.com/quote/FB211217P00200000?p=FB211217P00200000" xr:uid="{38F8A20A-5D65-4B41-BB80-518A78C60CCA}"/>
    <hyperlink ref="C104" r:id="rId184" display="https://finance.yahoo.com/quote/FB/options?strike=200&amp;straddle=false" xr:uid="{FAAFE8DC-EAC4-48CD-B602-2F8F83CB8100}"/>
    <hyperlink ref="A105" r:id="rId185" display="https://finance.yahoo.com/quote/FB211217P00205000?p=FB211217P00205000" xr:uid="{3BA2B89B-9FC0-465D-871C-AD36C00259BF}"/>
    <hyperlink ref="C105" r:id="rId186" display="https://finance.yahoo.com/quote/FB/options?strike=205&amp;straddle=false" xr:uid="{4B6FF4D3-9270-4E9A-A7D3-AC6AA2B3D153}"/>
    <hyperlink ref="A106" r:id="rId187" display="https://finance.yahoo.com/quote/FB211217P00210000?p=FB211217P00210000" xr:uid="{7A9AF430-B361-4276-BDF0-A77CABF58F5A}"/>
    <hyperlink ref="C106" r:id="rId188" display="https://finance.yahoo.com/quote/FB/options?strike=210&amp;straddle=false" xr:uid="{E60E79DB-846E-4E82-B2DC-DD8D621C2DFB}"/>
    <hyperlink ref="A107" r:id="rId189" display="https://finance.yahoo.com/quote/FB211217P00215000?p=FB211217P00215000" xr:uid="{7488E0EF-BF52-4CBF-AEFA-6F055A2A75E4}"/>
    <hyperlink ref="C107" r:id="rId190" display="https://finance.yahoo.com/quote/FB/options?strike=215&amp;straddle=false" xr:uid="{B93F43B7-E190-4D52-9500-81AE59BAA24D}"/>
    <hyperlink ref="A108" r:id="rId191" display="https://finance.yahoo.com/quote/FB211217P00220000?p=FB211217P00220000" xr:uid="{6FAECC28-896E-4ED3-9C85-7F75BE304B2D}"/>
    <hyperlink ref="C108" r:id="rId192" display="https://finance.yahoo.com/quote/FB/options?strike=220&amp;straddle=false" xr:uid="{69774414-8C9F-4E56-AD0D-2B1AFECCEC63}"/>
    <hyperlink ref="A109" r:id="rId193" display="https://finance.yahoo.com/quote/FB211217P00225000?p=FB211217P00225000" xr:uid="{A3AE679E-D657-4E17-A068-82070A443B45}"/>
    <hyperlink ref="C109" r:id="rId194" display="https://finance.yahoo.com/quote/FB/options?strike=225&amp;straddle=false" xr:uid="{CA13CE9F-7A78-4478-9D05-0A29ED9B1A0F}"/>
    <hyperlink ref="A110" r:id="rId195" display="https://finance.yahoo.com/quote/FB211217P00230000?p=FB211217P00230000" xr:uid="{D3F70D04-5AF5-4BC1-B7CA-7D7CECBC72DF}"/>
    <hyperlink ref="C110" r:id="rId196" display="https://finance.yahoo.com/quote/FB/options?strike=230&amp;straddle=false" xr:uid="{180DD5BB-D5CC-49AC-B6EA-306B66FEA233}"/>
    <hyperlink ref="A111" r:id="rId197" display="https://finance.yahoo.com/quote/FB211217P00235000?p=FB211217P00235000" xr:uid="{76E086CB-6CBB-4782-922B-BCB072D07CD1}"/>
    <hyperlink ref="C111" r:id="rId198" display="https://finance.yahoo.com/quote/FB/options?strike=235&amp;straddle=false" xr:uid="{A723D9A4-5986-4CCD-BED7-0C6731B9B618}"/>
    <hyperlink ref="A112" r:id="rId199" display="https://finance.yahoo.com/quote/FB211217P00240000?p=FB211217P00240000" xr:uid="{9EF63C59-08DD-430D-8A00-27456919239E}"/>
    <hyperlink ref="C112" r:id="rId200" display="https://finance.yahoo.com/quote/FB/options?strike=240&amp;straddle=false" xr:uid="{F2032143-83B8-4A06-A8A8-599F9562039C}"/>
    <hyperlink ref="A113" r:id="rId201" display="https://finance.yahoo.com/quote/FB211217P00245000?p=FB211217P00245000" xr:uid="{C188DC06-F00B-4E2F-B35A-235A4ECEC3AC}"/>
    <hyperlink ref="C113" r:id="rId202" display="https://finance.yahoo.com/quote/FB/options?strike=245&amp;straddle=false" xr:uid="{2EB79D48-BFCE-4424-9A51-3BC94592826C}"/>
    <hyperlink ref="A114" r:id="rId203" display="https://finance.yahoo.com/quote/FB211217P00250000?p=FB211217P00250000" xr:uid="{50DA4657-5F6C-43AF-9BF9-A42CB65CCB7A}"/>
    <hyperlink ref="C114" r:id="rId204" display="https://finance.yahoo.com/quote/FB/options?strike=250&amp;straddle=false" xr:uid="{95CA9EB1-5BD7-4696-86A2-C004E08A331F}"/>
    <hyperlink ref="A115" r:id="rId205" display="https://finance.yahoo.com/quote/FB211217P00255000?p=FB211217P00255000" xr:uid="{3DDAC66F-3949-41D9-BA67-D15FC2230106}"/>
    <hyperlink ref="C115" r:id="rId206" display="https://finance.yahoo.com/quote/FB/options?strike=255&amp;straddle=false" xr:uid="{7F873713-5ECD-471A-B41E-3C85BBC8BCC6}"/>
    <hyperlink ref="A116" r:id="rId207" display="https://finance.yahoo.com/quote/FB211217P00260000?p=FB211217P00260000" xr:uid="{4F0FEF4A-C7D3-4F2B-A6ED-7995019C0B6B}"/>
    <hyperlink ref="C116" r:id="rId208" display="https://finance.yahoo.com/quote/FB/options?strike=260&amp;straddle=false" xr:uid="{664C55DB-7A94-4C0A-BE21-E6C151E26282}"/>
    <hyperlink ref="A117" r:id="rId209" display="https://finance.yahoo.com/quote/FB211217P00265000?p=FB211217P00265000" xr:uid="{DCDE9FCE-A27D-41C0-AA02-D6BBCBA63742}"/>
    <hyperlink ref="C117" r:id="rId210" display="https://finance.yahoo.com/quote/FB/options?strike=265&amp;straddle=false" xr:uid="{5F909D09-7271-4FC7-A531-46C274A229E3}"/>
    <hyperlink ref="A118" r:id="rId211" display="https://finance.yahoo.com/quote/FB211217P00270000?p=FB211217P00270000" xr:uid="{64B2F6FC-36AE-45B3-AE9E-E275F48F3A40}"/>
    <hyperlink ref="C118" r:id="rId212" display="https://finance.yahoo.com/quote/FB/options?strike=270&amp;straddle=false" xr:uid="{3006A263-765F-4678-A88A-89BD21B4F70F}"/>
    <hyperlink ref="A119" r:id="rId213" display="https://finance.yahoo.com/quote/FB211217P00275000?p=FB211217P00275000" xr:uid="{8ABC8DE7-F2A2-47E8-89A4-C23C4D842ED9}"/>
    <hyperlink ref="C119" r:id="rId214" display="https://finance.yahoo.com/quote/FB/options?strike=275&amp;straddle=false" xr:uid="{AF1DBE90-85A9-4D7D-83A1-0A9ED91E75BE}"/>
    <hyperlink ref="A120" r:id="rId215" display="https://finance.yahoo.com/quote/FB211217P00280000?p=FB211217P00280000" xr:uid="{827B19B5-9CBC-44BA-93CE-E3BB445E4966}"/>
    <hyperlink ref="C120" r:id="rId216" display="https://finance.yahoo.com/quote/FB/options?strike=280&amp;straddle=false" xr:uid="{B3FF047E-FA78-455A-9622-1FABC9BEEB64}"/>
    <hyperlink ref="A121" r:id="rId217" display="https://finance.yahoo.com/quote/FB211217P00285000?p=FB211217P00285000" xr:uid="{CA80D845-E541-404F-9A3C-DAEADC459F1B}"/>
    <hyperlink ref="C121" r:id="rId218" display="https://finance.yahoo.com/quote/FB/options?strike=285&amp;straddle=false" xr:uid="{12ADDEBB-07CA-4957-83C7-A7341735E76E}"/>
    <hyperlink ref="A122" r:id="rId219" display="https://finance.yahoo.com/quote/FB211217P00290000?p=FB211217P00290000" xr:uid="{664D0E62-5685-4B5C-9004-C28CD1FB4970}"/>
    <hyperlink ref="C122" r:id="rId220" display="https://finance.yahoo.com/quote/FB/options?strike=290&amp;straddle=false" xr:uid="{AE77D7F9-C166-4382-A112-03F266458BA6}"/>
    <hyperlink ref="A123" r:id="rId221" display="https://finance.yahoo.com/quote/FB211217P00295000?p=FB211217P00295000" xr:uid="{6E5DE046-0AA4-461C-8B68-5351D422D27C}"/>
    <hyperlink ref="C123" r:id="rId222" display="https://finance.yahoo.com/quote/FB/options?strike=295&amp;straddle=false" xr:uid="{F26FE6A6-7400-406D-BA78-74CFA2091241}"/>
    <hyperlink ref="A124" r:id="rId223" display="https://finance.yahoo.com/quote/FB211217P00300000?p=FB211217P00300000" xr:uid="{68DC167E-39B9-4267-9271-4542BE7E4700}"/>
    <hyperlink ref="C124" r:id="rId224" display="https://finance.yahoo.com/quote/FB/options?strike=300&amp;straddle=false" xr:uid="{45CCCA7E-87D3-4127-AFE8-20C4E3548C72}"/>
    <hyperlink ref="A125" r:id="rId225" display="https://finance.yahoo.com/quote/FB211217P00305000?p=FB211217P00305000" xr:uid="{1D42D6B5-FA4E-4349-BB87-FD66FC06FF21}"/>
    <hyperlink ref="C125" r:id="rId226" display="https://finance.yahoo.com/quote/FB/options?strike=305&amp;straddle=false" xr:uid="{40471919-579A-4DF0-9A67-CE4AD3192C8C}"/>
    <hyperlink ref="A126" r:id="rId227" display="https://finance.yahoo.com/quote/FB211217P00310000?p=FB211217P00310000" xr:uid="{8C048241-DA4F-4CF6-963A-B8503B5188D8}"/>
    <hyperlink ref="C126" r:id="rId228" display="https://finance.yahoo.com/quote/FB/options?strike=310&amp;straddle=false" xr:uid="{D97E5E6F-E92B-487C-9384-E57D1F246A88}"/>
    <hyperlink ref="A127" r:id="rId229" display="https://finance.yahoo.com/quote/FB211217P00315000?p=FB211217P00315000" xr:uid="{A151B7A8-94D9-4CB8-B52C-F7961A5503E9}"/>
    <hyperlink ref="C127" r:id="rId230" display="https://finance.yahoo.com/quote/FB/options?strike=315&amp;straddle=false" xr:uid="{68B1738B-4D8F-4040-B1A9-1BB2DEE6B223}"/>
    <hyperlink ref="A128" r:id="rId231" display="https://finance.yahoo.com/quote/FB211217P00320000?p=FB211217P00320000" xr:uid="{362FC440-DF24-46AB-8FE0-58068668776E}"/>
    <hyperlink ref="C128" r:id="rId232" display="https://finance.yahoo.com/quote/FB/options?strike=320&amp;straddle=false" xr:uid="{9CEB43E5-BB1C-4570-9E3D-3A61BB0705C1}"/>
    <hyperlink ref="A129" r:id="rId233" display="https://finance.yahoo.com/quote/FB211217P00325000?p=FB211217P00325000" xr:uid="{9EBA6FA8-6D0A-4B47-AE80-510FF168A5D2}"/>
    <hyperlink ref="C129" r:id="rId234" display="https://finance.yahoo.com/quote/FB/options?strike=325&amp;straddle=false" xr:uid="{75BE821F-BEED-47A7-B34E-3F680091BA8F}"/>
    <hyperlink ref="A130" r:id="rId235" display="https://finance.yahoo.com/quote/FB211217P00330000?p=FB211217P00330000" xr:uid="{5295C575-B75C-412C-95D8-D3C583159777}"/>
    <hyperlink ref="C130" r:id="rId236" display="https://finance.yahoo.com/quote/FB/options?strike=330&amp;straddle=false" xr:uid="{0209B19C-B5D5-4ECB-B374-DB0712061322}"/>
    <hyperlink ref="A131" r:id="rId237" display="https://finance.yahoo.com/quote/FB211217P00335000?p=FB211217P00335000" xr:uid="{C2450E41-3259-4C1F-ACA7-9C37E66D631C}"/>
    <hyperlink ref="C131" r:id="rId238" display="https://finance.yahoo.com/quote/FB/options?strike=335&amp;straddle=false" xr:uid="{89505550-AEB2-42E8-A5F9-BFE0FF5EE354}"/>
    <hyperlink ref="A132" r:id="rId239" display="https://finance.yahoo.com/quote/FB211217P00340000?p=FB211217P00340000" xr:uid="{E40C894B-E476-471A-9CFD-78E29E4903E6}"/>
    <hyperlink ref="C132" r:id="rId240" display="https://finance.yahoo.com/quote/FB/options?strike=340&amp;straddle=false" xr:uid="{143886B8-81CD-48D3-92E2-6F214EC77C8F}"/>
    <hyperlink ref="A133" r:id="rId241" display="https://finance.yahoo.com/quote/FB211217P00345000?p=FB211217P00345000" xr:uid="{362DCA47-E59C-4271-8648-23AFC83CF129}"/>
    <hyperlink ref="C133" r:id="rId242" display="https://finance.yahoo.com/quote/FB/options?strike=345&amp;straddle=false" xr:uid="{597FD753-96B8-4E84-B329-17EE0D36483D}"/>
    <hyperlink ref="A134" r:id="rId243" display="https://finance.yahoo.com/quote/FB211217P00350000?p=FB211217P00350000" xr:uid="{72802CFA-086C-4132-9B84-AB9F17C61945}"/>
    <hyperlink ref="C134" r:id="rId244" display="https://finance.yahoo.com/quote/FB/options?strike=350&amp;straddle=false" xr:uid="{1B679004-82BE-45E9-A398-4364395CE98E}"/>
    <hyperlink ref="A135" r:id="rId245" display="https://finance.yahoo.com/quote/FB211217P00355000?p=FB211217P00355000" xr:uid="{E44F4FE3-1A35-4326-A954-D99D298B02FD}"/>
    <hyperlink ref="C135" r:id="rId246" display="https://finance.yahoo.com/quote/FB/options?strike=355&amp;straddle=false" xr:uid="{E1BB806F-129F-43CF-A324-54CD89DEDEEF}"/>
    <hyperlink ref="A136" r:id="rId247" display="https://finance.yahoo.com/quote/FB211217P00360000?p=FB211217P00360000" xr:uid="{DE604B28-6BD3-4E39-9E99-4AE9A6C9F4ED}"/>
    <hyperlink ref="C136" r:id="rId248" display="https://finance.yahoo.com/quote/FB/options?strike=360&amp;straddle=false" xr:uid="{909F9A7A-DBCF-46FB-9B36-D2B54BA7EA99}"/>
    <hyperlink ref="A137" r:id="rId249" display="https://finance.yahoo.com/quote/FB211217P00365000?p=FB211217P00365000" xr:uid="{9C6FFA19-2C6D-4866-A692-C9FA0F7C1B3B}"/>
    <hyperlink ref="C137" r:id="rId250" display="https://finance.yahoo.com/quote/FB/options?strike=365&amp;straddle=false" xr:uid="{EB288EB5-B980-4E08-99BC-05BAB57095F3}"/>
    <hyperlink ref="A138" r:id="rId251" display="https://finance.yahoo.com/quote/FB211217P00370000?p=FB211217P00370000" xr:uid="{E6C9D8A7-CB0A-4B05-8F44-3316125A6029}"/>
    <hyperlink ref="C138" r:id="rId252" display="https://finance.yahoo.com/quote/FB/options?strike=370&amp;straddle=false" xr:uid="{CC3969CD-0EFD-459C-B7B9-D4562F871CAF}"/>
    <hyperlink ref="A139" r:id="rId253" display="https://finance.yahoo.com/quote/FB211217P00375000?p=FB211217P00375000" xr:uid="{748A26CB-7566-47CE-8E2C-9AE07669B717}"/>
    <hyperlink ref="C139" r:id="rId254" display="https://finance.yahoo.com/quote/FB/options?strike=375&amp;straddle=false" xr:uid="{766E63C3-892A-4AB1-87D6-C73F52D8E62D}"/>
    <hyperlink ref="A140" r:id="rId255" display="https://finance.yahoo.com/quote/FB211217P00380000?p=FB211217P00380000" xr:uid="{A8413029-DC2B-4606-8B3F-0E642ABC4182}"/>
    <hyperlink ref="C140" r:id="rId256" display="https://finance.yahoo.com/quote/FB/options?strike=380&amp;straddle=false" xr:uid="{7A98425C-CCD2-4438-9978-47FC4EA3F01E}"/>
    <hyperlink ref="A141" r:id="rId257" display="https://finance.yahoo.com/quote/FB211217P00385000?p=FB211217P00385000" xr:uid="{341874B0-289F-4996-ABDE-2D7B0A249557}"/>
    <hyperlink ref="C141" r:id="rId258" display="https://finance.yahoo.com/quote/FB/options?strike=385&amp;straddle=false" xr:uid="{098B2B6B-A224-4CD4-93EB-D2D77B667BFA}"/>
    <hyperlink ref="A142" r:id="rId259" display="https://finance.yahoo.com/quote/FB211217P00390000?p=FB211217P00390000" xr:uid="{529A64CB-575C-4850-976B-2EB59044E027}"/>
    <hyperlink ref="C142" r:id="rId260" display="https://finance.yahoo.com/quote/FB/options?strike=390&amp;straddle=false" xr:uid="{206C1DBB-8679-4A53-9A58-B3955AE32F5E}"/>
    <hyperlink ref="A143" r:id="rId261" display="https://finance.yahoo.com/quote/FB211217P00395000?p=FB211217P00395000" xr:uid="{D5745EEF-2B14-41FC-8389-A8ECF832C6FE}"/>
    <hyperlink ref="C143" r:id="rId262" display="https://finance.yahoo.com/quote/FB/options?strike=395&amp;straddle=false" xr:uid="{0C7138D0-D0D2-42F8-A138-2691FBEE6989}"/>
    <hyperlink ref="A144" r:id="rId263" display="https://finance.yahoo.com/quote/FB211217P00400000?p=FB211217P00400000" xr:uid="{26C02853-CBB6-416B-B3E0-4F86CE65539A}"/>
    <hyperlink ref="C144" r:id="rId264" display="https://finance.yahoo.com/quote/FB/options?strike=400&amp;straddle=false" xr:uid="{F96FA130-1040-4AA5-B8E1-966DD43DA4EA}"/>
    <hyperlink ref="A145" r:id="rId265" display="https://finance.yahoo.com/quote/FB211217P00405000?p=FB211217P00405000" xr:uid="{BBDA8F6F-508B-4D5C-BF00-1328242A5964}"/>
    <hyperlink ref="C145" r:id="rId266" display="https://finance.yahoo.com/quote/FB/options?strike=405&amp;straddle=false" xr:uid="{6D276180-4573-4871-80E5-1D984E28D7E7}"/>
    <hyperlink ref="A146" r:id="rId267" display="https://finance.yahoo.com/quote/FB211217P00410000?p=FB211217P00410000" xr:uid="{5AA4094B-9A17-4B80-8F22-B680D9526756}"/>
    <hyperlink ref="C146" r:id="rId268" display="https://finance.yahoo.com/quote/FB/options?strike=410&amp;straddle=false" xr:uid="{5F6F8871-11A7-4792-B505-1CF5DC2746FF}"/>
    <hyperlink ref="A147" r:id="rId269" display="https://finance.yahoo.com/quote/FB211217P00415000?p=FB211217P00415000" xr:uid="{90AA6401-C7DA-401E-86C0-1DF4BB9B5054}"/>
    <hyperlink ref="C147" r:id="rId270" display="https://finance.yahoo.com/quote/FB/options?strike=415&amp;straddle=false" xr:uid="{00C45605-FF24-4CB5-B8C4-5242F5E5A7FF}"/>
    <hyperlink ref="A148" r:id="rId271" display="https://finance.yahoo.com/quote/FB211217P00420000?p=FB211217P00420000" xr:uid="{ECB2E0AE-1E9F-48D3-B071-56DC3E32B614}"/>
    <hyperlink ref="C148" r:id="rId272" display="https://finance.yahoo.com/quote/FB/options?strike=420&amp;straddle=false" xr:uid="{8A9DEE93-07B0-4F62-8C8A-30ADDFB7F41F}"/>
    <hyperlink ref="A149" r:id="rId273" display="https://finance.yahoo.com/quote/FB211217P00425000?p=FB211217P00425000" xr:uid="{FA78A615-D529-4CA3-99B7-B1E93B404B84}"/>
    <hyperlink ref="C149" r:id="rId274" display="https://finance.yahoo.com/quote/FB/options?strike=425&amp;straddle=false" xr:uid="{8618BFAA-009E-44DA-9416-3189FB4DBEE2}"/>
    <hyperlink ref="A150" r:id="rId275" display="https://finance.yahoo.com/quote/FB211217P00430000?p=FB211217P00430000" xr:uid="{D1A4F7BB-E631-40BE-AEB2-66D0C11B49A1}"/>
    <hyperlink ref="C150" r:id="rId276" display="https://finance.yahoo.com/quote/FB/options?strike=430&amp;straddle=false" xr:uid="{B691FD70-3435-4C49-B9A8-E1486FC38B0C}"/>
    <hyperlink ref="A151" r:id="rId277" display="https://finance.yahoo.com/quote/FB211217P00435000?p=FB211217P00435000" xr:uid="{B8C2D6E6-3ADF-4DD1-9897-0EDAC9708E0C}"/>
    <hyperlink ref="C151" r:id="rId278" display="https://finance.yahoo.com/quote/FB/options?strike=435&amp;straddle=false" xr:uid="{293139DB-A6F5-473C-863E-727A0C2666FA}"/>
    <hyperlink ref="A152" r:id="rId279" display="https://finance.yahoo.com/quote/FB211217P00440000?p=FB211217P00440000" xr:uid="{87219863-6CF8-4606-BDA6-650F32AE0E2E}"/>
    <hyperlink ref="C152" r:id="rId280" display="https://finance.yahoo.com/quote/FB/options?strike=440&amp;straddle=false" xr:uid="{FDA58347-BD84-4809-ABF1-D8F04A329232}"/>
    <hyperlink ref="A153" r:id="rId281" display="https://finance.yahoo.com/quote/FB211217P00445000?p=FB211217P00445000" xr:uid="{CDB5926C-C0CE-4CBC-ACD4-535660D17D2B}"/>
    <hyperlink ref="C153" r:id="rId282" display="https://finance.yahoo.com/quote/FB/options?strike=445&amp;straddle=false" xr:uid="{CD5F51A2-B652-4F82-9FEC-83770CA8E966}"/>
    <hyperlink ref="A154" r:id="rId283" display="https://finance.yahoo.com/quote/FB211217P00450000?p=FB211217P00450000" xr:uid="{6AFF5966-3043-41D7-8ACA-8A2A52C602E8}"/>
    <hyperlink ref="C154" r:id="rId284" display="https://finance.yahoo.com/quote/FB/options?strike=450&amp;straddle=false" xr:uid="{CD0A2D1B-F088-482C-B9CA-FBC2898E1EAF}"/>
    <hyperlink ref="A155" r:id="rId285" display="https://finance.yahoo.com/quote/FB211217P00455000?p=FB211217P00455000" xr:uid="{F617F120-E239-468A-B026-EC455D159085}"/>
    <hyperlink ref="C155" r:id="rId286" display="https://finance.yahoo.com/quote/FB/options?strike=455&amp;straddle=false" xr:uid="{B0CBD0E9-2C32-450D-A44E-57E211C87462}"/>
    <hyperlink ref="A156" r:id="rId287" display="https://finance.yahoo.com/quote/FB211217P00460000?p=FB211217P00460000" xr:uid="{759B778D-4D31-428E-B2C1-AEA47F2CC679}"/>
    <hyperlink ref="C156" r:id="rId288" display="https://finance.yahoo.com/quote/FB/options?strike=460&amp;straddle=false" xr:uid="{029EB0FB-BD6D-4B72-8CDF-CF63597EAF06}"/>
    <hyperlink ref="A157" r:id="rId289" display="https://finance.yahoo.com/quote/FB211217P00465000?p=FB211217P00465000" xr:uid="{04B4D629-5A7B-45A8-B125-E6764AE8FD06}"/>
    <hyperlink ref="C157" r:id="rId290" display="https://finance.yahoo.com/quote/FB/options?strike=465&amp;straddle=false" xr:uid="{277F9AC6-8691-4888-B9DB-D92EF629ADBE}"/>
    <hyperlink ref="A158" r:id="rId291" display="https://finance.yahoo.com/quote/FB211217P00470000?p=FB211217P00470000" xr:uid="{E6C32D9E-A9E5-4691-BF25-B5CE1D23C25C}"/>
    <hyperlink ref="C158" r:id="rId292" display="https://finance.yahoo.com/quote/FB/options?strike=470&amp;straddle=false" xr:uid="{B10CEF3F-E720-4B5D-A32C-E7B82102237D}"/>
    <hyperlink ref="A159" r:id="rId293" display="https://finance.yahoo.com/quote/FB211217P00475000?p=FB211217P00475000" xr:uid="{727114D4-5A98-4A20-B811-C066CD22C22D}"/>
    <hyperlink ref="C159" r:id="rId294" display="https://finance.yahoo.com/quote/FB/options?strike=475&amp;straddle=false" xr:uid="{18703D09-9B73-436D-8EC3-D6CA0FCC6AD8}"/>
    <hyperlink ref="A160" r:id="rId295" display="https://finance.yahoo.com/quote/FB211217P00480000?p=FB211217P00480000" xr:uid="{100E92BD-DCE0-4BBC-96E9-F9A450CF31A3}"/>
    <hyperlink ref="C160" r:id="rId296" display="https://finance.yahoo.com/quote/FB/options?strike=480&amp;straddle=false" xr:uid="{6568112D-F62A-4568-8723-1FA0ECD73902}"/>
    <hyperlink ref="A161" r:id="rId297" display="https://finance.yahoo.com/quote/FB211217P00485000?p=FB211217P00485000" xr:uid="{D49E7643-FF2A-4E86-8B16-E9D6531B2B05}"/>
    <hyperlink ref="C161" r:id="rId298" display="https://finance.yahoo.com/quote/FB/options?strike=485&amp;straddle=false" xr:uid="{417B82ED-254A-4A83-B536-2936C2D11CF8}"/>
    <hyperlink ref="A162" r:id="rId299" display="https://finance.yahoo.com/quote/FB211217P00490000?p=FB211217P00490000" xr:uid="{F388840E-0966-4E40-99BE-769746E8B867}"/>
    <hyperlink ref="C162" r:id="rId300" display="https://finance.yahoo.com/quote/FB/options?strike=490&amp;straddle=false" xr:uid="{FE6C51C0-BDEC-488B-A648-15522EA3365B}"/>
    <hyperlink ref="A163" r:id="rId301" display="https://finance.yahoo.com/quote/FB211217P00495000?p=FB211217P00495000" xr:uid="{866E406F-4984-4F9D-AAAD-0E91A09E8FDB}"/>
    <hyperlink ref="C163" r:id="rId302" display="https://finance.yahoo.com/quote/FB/options?strike=495&amp;straddle=false" xr:uid="{CA49AA10-223C-41C3-B2F0-8A8B5B40B8A3}"/>
    <hyperlink ref="A164" r:id="rId303" display="https://finance.yahoo.com/quote/FB211217P00500000?p=FB211217P00500000" xr:uid="{1B13C796-5B6D-4857-9A1B-5DCB517138B2}"/>
    <hyperlink ref="C164" r:id="rId304" display="https://finance.yahoo.com/quote/FB/options?strike=500&amp;straddle=false" xr:uid="{321F143D-2276-40BE-9C9F-A4CAEE302749}"/>
    <hyperlink ref="A165" r:id="rId305" display="https://finance.yahoo.com/quote/FB211217P00510000?p=FB211217P00510000" xr:uid="{F3F3FA10-DC43-4E8E-8A0E-A1865792E921}"/>
    <hyperlink ref="C165" r:id="rId306" display="https://finance.yahoo.com/quote/FB/options?strike=510&amp;straddle=false" xr:uid="{23B92E62-8AA7-48F3-916D-D358AE54CEC1}"/>
    <hyperlink ref="A166" r:id="rId307" display="https://finance.yahoo.com/quote/FB211217P00520000?p=FB211217P00520000" xr:uid="{E8BF7F2D-A570-4C38-9C1E-C926946321C2}"/>
    <hyperlink ref="C166" r:id="rId308" display="https://finance.yahoo.com/quote/FB/options?strike=520&amp;straddle=false" xr:uid="{6AB2EED8-DE0F-45AD-ACA2-7A368FF62793}"/>
    <hyperlink ref="A167" r:id="rId309" display="https://finance.yahoo.com/quote/FB211217P00540000?p=FB211217P00540000" xr:uid="{970F8881-C7FA-44CF-8D85-A99D9985A565}"/>
    <hyperlink ref="C167" r:id="rId310" display="https://finance.yahoo.com/quote/FB/options?strike=540&amp;straddle=false" xr:uid="{B48D5379-202C-4420-8F88-7A4CAD90415C}"/>
    <hyperlink ref="A168" r:id="rId311" display="https://finance.yahoo.com/quote/FB211217P00550000?p=FB211217P00550000" xr:uid="{ADC1C424-BB41-4583-8288-79C0E4D40E6C}"/>
    <hyperlink ref="C168" r:id="rId312" display="https://finance.yahoo.com/quote/FB/options?strike=550&amp;straddle=false" xr:uid="{75F725E5-1A00-4CDE-AE6D-1BE91B30226F}"/>
  </hyperlinks>
  <pageMargins left="0.7" right="0.7" top="0.75" bottom="0.75" header="0.3" footer="0.3"/>
  <drawing r:id="rId31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5560A-4180-4721-A05B-E6472C3B8AB8}">
  <sheetPr codeName="Sheet1"/>
  <dimension ref="A1:O160"/>
  <sheetViews>
    <sheetView topLeftCell="A145" zoomScale="115" zoomScaleNormal="115" workbookViewId="0">
      <selection activeCell="A161" sqref="A161:XFD192"/>
    </sheetView>
  </sheetViews>
  <sheetFormatPr defaultRowHeight="12.75"/>
  <cols>
    <col min="1" max="1" width="11.140625" bestFit="1" customWidth="1"/>
    <col min="2" max="2" width="13.85546875" customWidth="1"/>
  </cols>
  <sheetData>
    <row r="1" spans="1:15">
      <c r="A1" s="7" t="s">
        <v>21</v>
      </c>
      <c r="B1" s="3" t="s">
        <v>22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5">
      <c r="A2" s="7" t="s">
        <v>23</v>
      </c>
      <c r="B2" s="1" t="s">
        <v>24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5">
      <c r="A3" s="7" t="s">
        <v>26</v>
      </c>
      <c r="B3" s="1" t="s">
        <v>27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4" spans="1:15">
      <c r="A4" s="7" t="s">
        <v>28</v>
      </c>
      <c r="B4" s="1" t="s">
        <v>1158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</row>
    <row r="5" spans="1:15">
      <c r="A5" s="7" t="s">
        <v>25</v>
      </c>
      <c r="B5" s="1" t="s">
        <v>1131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5">
      <c r="A6" s="7" t="s">
        <v>88</v>
      </c>
      <c r="B6" s="1">
        <v>1245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5">
      <c r="A7" s="7" t="s">
        <v>90</v>
      </c>
      <c r="B7" s="78" t="s">
        <v>1130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5" ht="13.5" thickBot="1">
      <c r="A8" s="7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5" ht="19.7" customHeight="1" thickBot="1">
      <c r="A9" s="79" t="s">
        <v>12</v>
      </c>
      <c r="B9" s="79"/>
      <c r="C9" s="79"/>
      <c r="D9" s="79"/>
      <c r="E9" s="79"/>
      <c r="F9" s="79"/>
      <c r="G9" s="79"/>
      <c r="H9" s="73" t="s">
        <v>1128</v>
      </c>
      <c r="I9" s="80" t="s">
        <v>13</v>
      </c>
      <c r="J9" s="81"/>
      <c r="K9" s="81"/>
      <c r="L9" s="81"/>
      <c r="M9" s="81"/>
      <c r="N9" s="81"/>
      <c r="O9" s="82"/>
    </row>
    <row r="10" spans="1:15" ht="13.7" customHeight="1" thickBot="1">
      <c r="A10" s="74" t="s">
        <v>14</v>
      </c>
      <c r="B10" s="74" t="s">
        <v>15</v>
      </c>
      <c r="C10" s="74" t="s">
        <v>16</v>
      </c>
      <c r="D10" s="74" t="s">
        <v>17</v>
      </c>
      <c r="E10" s="74" t="s">
        <v>18</v>
      </c>
      <c r="F10" s="74" t="s">
        <v>19</v>
      </c>
      <c r="G10" s="74" t="s">
        <v>20</v>
      </c>
      <c r="H10" s="73" t="s">
        <v>1129</v>
      </c>
      <c r="I10" s="74" t="s">
        <v>20</v>
      </c>
      <c r="J10" s="74" t="s">
        <v>19</v>
      </c>
      <c r="K10" s="74" t="s">
        <v>18</v>
      </c>
      <c r="L10" s="74" t="s">
        <v>17</v>
      </c>
      <c r="M10" s="74" t="s">
        <v>16</v>
      </c>
      <c r="N10" s="74" t="s">
        <v>15</v>
      </c>
      <c r="O10" s="75" t="s">
        <v>14</v>
      </c>
    </row>
    <row r="11" spans="1:15" ht="19.7" customHeight="1">
      <c r="A11" s="76" t="s">
        <v>861</v>
      </c>
      <c r="B11" s="104">
        <v>0</v>
      </c>
      <c r="C11" s="104" t="s">
        <v>0</v>
      </c>
      <c r="D11" s="104" t="s">
        <v>0</v>
      </c>
      <c r="E11" s="104" t="s">
        <v>862</v>
      </c>
      <c r="F11" s="104" t="s">
        <v>0</v>
      </c>
      <c r="G11" s="104" t="s">
        <v>0</v>
      </c>
      <c r="H11" s="105">
        <v>910</v>
      </c>
      <c r="I11" s="104" t="s">
        <v>0</v>
      </c>
      <c r="J11" s="104" t="s">
        <v>0</v>
      </c>
      <c r="K11" s="104" t="s">
        <v>863</v>
      </c>
      <c r="L11" s="104" t="s">
        <v>0</v>
      </c>
      <c r="M11" s="104" t="s">
        <v>0</v>
      </c>
      <c r="N11" s="104">
        <v>0</v>
      </c>
      <c r="O11" s="76" t="s">
        <v>864</v>
      </c>
    </row>
    <row r="12" spans="1:15" ht="13.7" customHeight="1">
      <c r="A12" s="77">
        <v>44493</v>
      </c>
      <c r="B12" s="104"/>
      <c r="C12" s="104"/>
      <c r="D12" s="104"/>
      <c r="E12" s="104"/>
      <c r="F12" s="104"/>
      <c r="G12" s="104"/>
      <c r="H12" s="105"/>
      <c r="I12" s="104"/>
      <c r="J12" s="104"/>
      <c r="K12" s="104"/>
      <c r="L12" s="104"/>
      <c r="M12" s="104"/>
      <c r="N12" s="104"/>
      <c r="O12" s="77">
        <v>44494</v>
      </c>
    </row>
    <row r="13" spans="1:15" ht="19.7" customHeight="1">
      <c r="A13" s="65" t="s">
        <v>861</v>
      </c>
      <c r="B13" s="94">
        <v>0</v>
      </c>
      <c r="C13" s="94" t="s">
        <v>0</v>
      </c>
      <c r="D13" s="94" t="s">
        <v>0</v>
      </c>
      <c r="E13" s="94" t="s">
        <v>865</v>
      </c>
      <c r="F13" s="94" t="s">
        <v>0</v>
      </c>
      <c r="G13" s="94" t="s">
        <v>0</v>
      </c>
      <c r="H13" s="95">
        <v>930</v>
      </c>
      <c r="I13" s="94" t="s">
        <v>0</v>
      </c>
      <c r="J13" s="94" t="s">
        <v>0</v>
      </c>
      <c r="K13" s="94" t="s">
        <v>863</v>
      </c>
      <c r="L13" s="94" t="s">
        <v>0</v>
      </c>
      <c r="M13" s="94" t="s">
        <v>0</v>
      </c>
      <c r="N13" s="94">
        <v>0</v>
      </c>
      <c r="O13" s="65" t="s">
        <v>864</v>
      </c>
    </row>
    <row r="14" spans="1:15" ht="13.7" customHeight="1">
      <c r="A14" s="66">
        <v>44493</v>
      </c>
      <c r="B14" s="94"/>
      <c r="C14" s="94"/>
      <c r="D14" s="94"/>
      <c r="E14" s="94"/>
      <c r="F14" s="94"/>
      <c r="G14" s="94"/>
      <c r="H14" s="95"/>
      <c r="I14" s="94"/>
      <c r="J14" s="94"/>
      <c r="K14" s="94"/>
      <c r="L14" s="94"/>
      <c r="M14" s="94"/>
      <c r="N14" s="94"/>
      <c r="O14" s="66">
        <v>44494</v>
      </c>
    </row>
    <row r="15" spans="1:15" ht="19.7" customHeight="1">
      <c r="A15" s="67" t="s">
        <v>861</v>
      </c>
      <c r="B15" s="96">
        <v>0</v>
      </c>
      <c r="C15" s="96" t="s">
        <v>0</v>
      </c>
      <c r="D15" s="96" t="s">
        <v>0</v>
      </c>
      <c r="E15" s="96" t="s">
        <v>866</v>
      </c>
      <c r="F15" s="96" t="s">
        <v>0</v>
      </c>
      <c r="G15" s="96" t="s">
        <v>0</v>
      </c>
      <c r="H15" s="97">
        <v>940</v>
      </c>
      <c r="I15" s="96" t="s">
        <v>863</v>
      </c>
      <c r="J15" s="96" t="s">
        <v>867</v>
      </c>
      <c r="K15" s="96" t="s">
        <v>863</v>
      </c>
      <c r="L15" s="96" t="s">
        <v>863</v>
      </c>
      <c r="M15" s="96" t="s">
        <v>863</v>
      </c>
      <c r="N15" s="96">
        <v>50</v>
      </c>
      <c r="O15" s="67" t="s">
        <v>868</v>
      </c>
    </row>
    <row r="16" spans="1:15" ht="13.7" customHeight="1">
      <c r="A16" s="68">
        <v>44493</v>
      </c>
      <c r="B16" s="96"/>
      <c r="C16" s="96"/>
      <c r="D16" s="96"/>
      <c r="E16" s="96"/>
      <c r="F16" s="96"/>
      <c r="G16" s="96"/>
      <c r="H16" s="97"/>
      <c r="I16" s="96"/>
      <c r="J16" s="96"/>
      <c r="K16" s="96"/>
      <c r="L16" s="96"/>
      <c r="M16" s="96"/>
      <c r="N16" s="96"/>
      <c r="O16" s="68">
        <v>44494</v>
      </c>
    </row>
    <row r="17" spans="1:15" ht="19.7" customHeight="1">
      <c r="A17" s="65" t="s">
        <v>861</v>
      </c>
      <c r="B17" s="94">
        <v>0</v>
      </c>
      <c r="C17" s="94" t="s">
        <v>0</v>
      </c>
      <c r="D17" s="94" t="s">
        <v>0</v>
      </c>
      <c r="E17" s="94" t="s">
        <v>869</v>
      </c>
      <c r="F17" s="94" t="s">
        <v>0</v>
      </c>
      <c r="G17" s="94" t="s">
        <v>0</v>
      </c>
      <c r="H17" s="95">
        <v>950</v>
      </c>
      <c r="I17" s="94" t="s">
        <v>0</v>
      </c>
      <c r="J17" s="94" t="s">
        <v>0</v>
      </c>
      <c r="K17" s="94" t="s">
        <v>863</v>
      </c>
      <c r="L17" s="94" t="s">
        <v>0</v>
      </c>
      <c r="M17" s="94" t="s">
        <v>0</v>
      </c>
      <c r="N17" s="94">
        <v>0</v>
      </c>
      <c r="O17" s="65" t="s">
        <v>864</v>
      </c>
    </row>
    <row r="18" spans="1:15" ht="13.7" customHeight="1">
      <c r="A18" s="66">
        <v>44493</v>
      </c>
      <c r="B18" s="94"/>
      <c r="C18" s="94"/>
      <c r="D18" s="94"/>
      <c r="E18" s="94"/>
      <c r="F18" s="94"/>
      <c r="G18" s="94"/>
      <c r="H18" s="95"/>
      <c r="I18" s="94"/>
      <c r="J18" s="94"/>
      <c r="K18" s="94"/>
      <c r="L18" s="94"/>
      <c r="M18" s="94"/>
      <c r="N18" s="94"/>
      <c r="O18" s="66">
        <v>44494</v>
      </c>
    </row>
    <row r="19" spans="1:15" ht="19.7" customHeight="1">
      <c r="A19" s="67" t="s">
        <v>861</v>
      </c>
      <c r="B19" s="96">
        <v>0</v>
      </c>
      <c r="C19" s="96" t="s">
        <v>0</v>
      </c>
      <c r="D19" s="96" t="s">
        <v>0</v>
      </c>
      <c r="E19" s="96" t="s">
        <v>870</v>
      </c>
      <c r="F19" s="96" t="s">
        <v>0</v>
      </c>
      <c r="G19" s="96" t="s">
        <v>0</v>
      </c>
      <c r="H19" s="97">
        <v>960</v>
      </c>
      <c r="I19" s="96" t="s">
        <v>0</v>
      </c>
      <c r="J19" s="96" t="s">
        <v>0</v>
      </c>
      <c r="K19" s="96" t="s">
        <v>863</v>
      </c>
      <c r="L19" s="96" t="s">
        <v>0</v>
      </c>
      <c r="M19" s="96" t="s">
        <v>0</v>
      </c>
      <c r="N19" s="96">
        <v>0</v>
      </c>
      <c r="O19" s="67" t="s">
        <v>864</v>
      </c>
    </row>
    <row r="20" spans="1:15" ht="13.7" customHeight="1">
      <c r="A20" s="68">
        <v>44493</v>
      </c>
      <c r="B20" s="96"/>
      <c r="C20" s="96"/>
      <c r="D20" s="96"/>
      <c r="E20" s="96"/>
      <c r="F20" s="96"/>
      <c r="G20" s="96"/>
      <c r="H20" s="97"/>
      <c r="I20" s="96"/>
      <c r="J20" s="96"/>
      <c r="K20" s="96"/>
      <c r="L20" s="96"/>
      <c r="M20" s="96"/>
      <c r="N20" s="96"/>
      <c r="O20" s="68">
        <v>44494</v>
      </c>
    </row>
    <row r="21" spans="1:15" ht="19.7" customHeight="1">
      <c r="A21" s="65" t="s">
        <v>861</v>
      </c>
      <c r="B21" s="94">
        <v>0</v>
      </c>
      <c r="C21" s="94" t="s">
        <v>0</v>
      </c>
      <c r="D21" s="94" t="s">
        <v>0</v>
      </c>
      <c r="E21" s="94" t="s">
        <v>871</v>
      </c>
      <c r="F21" s="94" t="s">
        <v>0</v>
      </c>
      <c r="G21" s="94" t="s">
        <v>0</v>
      </c>
      <c r="H21" s="95">
        <v>970</v>
      </c>
      <c r="I21" s="94" t="s">
        <v>0</v>
      </c>
      <c r="J21" s="94" t="s">
        <v>0</v>
      </c>
      <c r="K21" s="94" t="s">
        <v>872</v>
      </c>
      <c r="L21" s="94" t="s">
        <v>0</v>
      </c>
      <c r="M21" s="94" t="s">
        <v>0</v>
      </c>
      <c r="N21" s="94">
        <v>0</v>
      </c>
      <c r="O21" s="65" t="s">
        <v>861</v>
      </c>
    </row>
    <row r="22" spans="1:15" ht="13.7" customHeight="1">
      <c r="A22" s="66">
        <v>44493</v>
      </c>
      <c r="B22" s="94"/>
      <c r="C22" s="94"/>
      <c r="D22" s="94"/>
      <c r="E22" s="94"/>
      <c r="F22" s="94"/>
      <c r="G22" s="94"/>
      <c r="H22" s="95"/>
      <c r="I22" s="94"/>
      <c r="J22" s="94"/>
      <c r="K22" s="94"/>
      <c r="L22" s="94"/>
      <c r="M22" s="94"/>
      <c r="N22" s="94"/>
      <c r="O22" s="66">
        <v>44493</v>
      </c>
    </row>
    <row r="23" spans="1:15" ht="19.7" customHeight="1">
      <c r="A23" s="67" t="s">
        <v>864</v>
      </c>
      <c r="B23" s="96">
        <v>0</v>
      </c>
      <c r="C23" s="96" t="s">
        <v>0</v>
      </c>
      <c r="D23" s="96" t="s">
        <v>0</v>
      </c>
      <c r="E23" s="96" t="s">
        <v>873</v>
      </c>
      <c r="F23" s="96" t="s">
        <v>0</v>
      </c>
      <c r="G23" s="96" t="s">
        <v>0</v>
      </c>
      <c r="H23" s="97">
        <v>980</v>
      </c>
      <c r="I23" s="96" t="s">
        <v>0</v>
      </c>
      <c r="J23" s="96" t="s">
        <v>0</v>
      </c>
      <c r="K23" s="96" t="s">
        <v>872</v>
      </c>
      <c r="L23" s="96" t="s">
        <v>0</v>
      </c>
      <c r="M23" s="96" t="s">
        <v>0</v>
      </c>
      <c r="N23" s="96">
        <v>0</v>
      </c>
      <c r="O23" s="67" t="s">
        <v>864</v>
      </c>
    </row>
    <row r="24" spans="1:15" ht="13.7" customHeight="1">
      <c r="A24" s="68">
        <v>44494</v>
      </c>
      <c r="B24" s="96"/>
      <c r="C24" s="96"/>
      <c r="D24" s="96"/>
      <c r="E24" s="96"/>
      <c r="F24" s="96"/>
      <c r="G24" s="96"/>
      <c r="H24" s="97"/>
      <c r="I24" s="96"/>
      <c r="J24" s="96"/>
      <c r="K24" s="96"/>
      <c r="L24" s="96"/>
      <c r="M24" s="96"/>
      <c r="N24" s="96"/>
      <c r="O24" s="68">
        <v>44494</v>
      </c>
    </row>
    <row r="25" spans="1:15" ht="19.7" customHeight="1">
      <c r="A25" s="65" t="s">
        <v>861</v>
      </c>
      <c r="B25" s="94">
        <v>0</v>
      </c>
      <c r="C25" s="94" t="s">
        <v>0</v>
      </c>
      <c r="D25" s="94" t="s">
        <v>0</v>
      </c>
      <c r="E25" s="94" t="s">
        <v>874</v>
      </c>
      <c r="F25" s="94" t="s">
        <v>0</v>
      </c>
      <c r="G25" s="94" t="s">
        <v>0</v>
      </c>
      <c r="H25" s="95">
        <v>990</v>
      </c>
      <c r="I25" s="94" t="s">
        <v>872</v>
      </c>
      <c r="J25" s="94" t="s">
        <v>867</v>
      </c>
      <c r="K25" s="94" t="s">
        <v>872</v>
      </c>
      <c r="L25" s="94" t="s">
        <v>872</v>
      </c>
      <c r="M25" s="94" t="s">
        <v>872</v>
      </c>
      <c r="N25" s="94">
        <v>50</v>
      </c>
      <c r="O25" s="65" t="s">
        <v>875</v>
      </c>
    </row>
    <row r="26" spans="1:15" ht="13.7" customHeight="1">
      <c r="A26" s="66">
        <v>44493</v>
      </c>
      <c r="B26" s="94"/>
      <c r="C26" s="94"/>
      <c r="D26" s="94"/>
      <c r="E26" s="94"/>
      <c r="F26" s="94"/>
      <c r="G26" s="94"/>
      <c r="H26" s="95"/>
      <c r="I26" s="94"/>
      <c r="J26" s="94"/>
      <c r="K26" s="94"/>
      <c r="L26" s="94"/>
      <c r="M26" s="94"/>
      <c r="N26" s="94"/>
      <c r="O26" s="66">
        <v>44494</v>
      </c>
    </row>
    <row r="27" spans="1:15" ht="19.7" customHeight="1">
      <c r="A27" s="67" t="s">
        <v>864</v>
      </c>
      <c r="B27" s="96">
        <v>0</v>
      </c>
      <c r="C27" s="96" t="s">
        <v>0</v>
      </c>
      <c r="D27" s="96" t="s">
        <v>0</v>
      </c>
      <c r="E27" s="96" t="s">
        <v>876</v>
      </c>
      <c r="F27" s="96" t="s">
        <v>0</v>
      </c>
      <c r="G27" s="96" t="s">
        <v>0</v>
      </c>
      <c r="H27" s="97">
        <v>1000</v>
      </c>
      <c r="I27" s="96" t="s">
        <v>0</v>
      </c>
      <c r="J27" s="96" t="s">
        <v>0</v>
      </c>
      <c r="K27" s="96" t="s">
        <v>872</v>
      </c>
      <c r="L27" s="96" t="s">
        <v>0</v>
      </c>
      <c r="M27" s="96" t="s">
        <v>0</v>
      </c>
      <c r="N27" s="96">
        <v>0</v>
      </c>
      <c r="O27" s="67" t="s">
        <v>864</v>
      </c>
    </row>
    <row r="28" spans="1:15" ht="13.7" customHeight="1">
      <c r="A28" s="68">
        <v>44494</v>
      </c>
      <c r="B28" s="96"/>
      <c r="C28" s="96"/>
      <c r="D28" s="96"/>
      <c r="E28" s="96"/>
      <c r="F28" s="96"/>
      <c r="G28" s="96"/>
      <c r="H28" s="97"/>
      <c r="I28" s="96"/>
      <c r="J28" s="96"/>
      <c r="K28" s="96"/>
      <c r="L28" s="96"/>
      <c r="M28" s="96"/>
      <c r="N28" s="96"/>
      <c r="O28" s="68">
        <v>44494</v>
      </c>
    </row>
    <row r="29" spans="1:15" ht="19.7" customHeight="1">
      <c r="A29" s="65" t="s">
        <v>861</v>
      </c>
      <c r="B29" s="94">
        <v>0</v>
      </c>
      <c r="C29" s="94" t="s">
        <v>0</v>
      </c>
      <c r="D29" s="94" t="s">
        <v>0</v>
      </c>
      <c r="E29" s="94" t="s">
        <v>877</v>
      </c>
      <c r="F29" s="94" t="s">
        <v>0</v>
      </c>
      <c r="G29" s="94" t="s">
        <v>0</v>
      </c>
      <c r="H29" s="95">
        <v>1010</v>
      </c>
      <c r="I29" s="94" t="s">
        <v>0</v>
      </c>
      <c r="J29" s="94" t="s">
        <v>0</v>
      </c>
      <c r="K29" s="94" t="s">
        <v>878</v>
      </c>
      <c r="L29" s="94" t="s">
        <v>0</v>
      </c>
      <c r="M29" s="94" t="s">
        <v>0</v>
      </c>
      <c r="N29" s="94">
        <v>0</v>
      </c>
      <c r="O29" s="65" t="s">
        <v>864</v>
      </c>
    </row>
    <row r="30" spans="1:15" ht="13.7" customHeight="1">
      <c r="A30" s="66">
        <v>44493</v>
      </c>
      <c r="B30" s="94"/>
      <c r="C30" s="94"/>
      <c r="D30" s="94"/>
      <c r="E30" s="94"/>
      <c r="F30" s="94"/>
      <c r="G30" s="94"/>
      <c r="H30" s="95"/>
      <c r="I30" s="94"/>
      <c r="J30" s="94"/>
      <c r="K30" s="94"/>
      <c r="L30" s="94"/>
      <c r="M30" s="94"/>
      <c r="N30" s="94"/>
      <c r="O30" s="66">
        <v>44494</v>
      </c>
    </row>
    <row r="31" spans="1:15" ht="19.7" customHeight="1">
      <c r="A31" s="67" t="s">
        <v>864</v>
      </c>
      <c r="B31" s="96">
        <v>0</v>
      </c>
      <c r="C31" s="96" t="s">
        <v>0</v>
      </c>
      <c r="D31" s="96" t="s">
        <v>0</v>
      </c>
      <c r="E31" s="96" t="s">
        <v>879</v>
      </c>
      <c r="F31" s="96" t="s">
        <v>0</v>
      </c>
      <c r="G31" s="96" t="s">
        <v>0</v>
      </c>
      <c r="H31" s="97">
        <v>1020</v>
      </c>
      <c r="I31" s="96" t="s">
        <v>0</v>
      </c>
      <c r="J31" s="96" t="s">
        <v>0</v>
      </c>
      <c r="K31" s="96" t="s">
        <v>878</v>
      </c>
      <c r="L31" s="96" t="s">
        <v>0</v>
      </c>
      <c r="M31" s="96" t="s">
        <v>0</v>
      </c>
      <c r="N31" s="96">
        <v>0</v>
      </c>
      <c r="O31" s="67" t="s">
        <v>864</v>
      </c>
    </row>
    <row r="32" spans="1:15" ht="13.7" customHeight="1">
      <c r="A32" s="68">
        <v>44494</v>
      </c>
      <c r="B32" s="96"/>
      <c r="C32" s="96"/>
      <c r="D32" s="96"/>
      <c r="E32" s="96"/>
      <c r="F32" s="96"/>
      <c r="G32" s="96"/>
      <c r="H32" s="97"/>
      <c r="I32" s="96"/>
      <c r="J32" s="96"/>
      <c r="K32" s="96"/>
      <c r="L32" s="96"/>
      <c r="M32" s="96"/>
      <c r="N32" s="96"/>
      <c r="O32" s="68">
        <v>44494</v>
      </c>
    </row>
    <row r="33" spans="1:15" ht="19.7" customHeight="1">
      <c r="A33" s="65" t="s">
        <v>861</v>
      </c>
      <c r="B33" s="94">
        <v>0</v>
      </c>
      <c r="C33" s="94" t="s">
        <v>0</v>
      </c>
      <c r="D33" s="94" t="s">
        <v>0</v>
      </c>
      <c r="E33" s="94" t="s">
        <v>880</v>
      </c>
      <c r="F33" s="94" t="s">
        <v>0</v>
      </c>
      <c r="G33" s="94" t="s">
        <v>0</v>
      </c>
      <c r="H33" s="95">
        <v>1030</v>
      </c>
      <c r="I33" s="94" t="s">
        <v>878</v>
      </c>
      <c r="J33" s="99" t="s">
        <v>881</v>
      </c>
      <c r="K33" s="94" t="s">
        <v>882</v>
      </c>
      <c r="L33" s="94" t="s">
        <v>878</v>
      </c>
      <c r="M33" s="94" t="s">
        <v>878</v>
      </c>
      <c r="N33" s="94">
        <v>83</v>
      </c>
      <c r="O33" s="65" t="s">
        <v>883</v>
      </c>
    </row>
    <row r="34" spans="1:15" ht="13.7" customHeight="1">
      <c r="A34" s="66">
        <v>44493</v>
      </c>
      <c r="B34" s="94"/>
      <c r="C34" s="94"/>
      <c r="D34" s="94"/>
      <c r="E34" s="94"/>
      <c r="F34" s="94"/>
      <c r="G34" s="94"/>
      <c r="H34" s="95"/>
      <c r="I34" s="94"/>
      <c r="J34" s="99"/>
      <c r="K34" s="94"/>
      <c r="L34" s="94"/>
      <c r="M34" s="94"/>
      <c r="N34" s="94"/>
      <c r="O34" s="66">
        <v>44494</v>
      </c>
    </row>
    <row r="35" spans="1:15" ht="19.7" customHeight="1">
      <c r="A35" s="67" t="s">
        <v>884</v>
      </c>
      <c r="B35" s="96">
        <v>0</v>
      </c>
      <c r="C35" s="96" t="s">
        <v>0</v>
      </c>
      <c r="D35" s="96" t="s">
        <v>0</v>
      </c>
      <c r="E35" s="96" t="s">
        <v>885</v>
      </c>
      <c r="F35" s="96" t="s">
        <v>0</v>
      </c>
      <c r="G35" s="96" t="s">
        <v>0</v>
      </c>
      <c r="H35" s="97">
        <v>1040</v>
      </c>
      <c r="I35" s="96" t="s">
        <v>878</v>
      </c>
      <c r="J35" s="100" t="s">
        <v>881</v>
      </c>
      <c r="K35" s="96" t="s">
        <v>882</v>
      </c>
      <c r="L35" s="96" t="s">
        <v>878</v>
      </c>
      <c r="M35" s="96" t="s">
        <v>878</v>
      </c>
      <c r="N35" s="96">
        <v>15</v>
      </c>
      <c r="O35" s="67" t="s">
        <v>886</v>
      </c>
    </row>
    <row r="36" spans="1:15" ht="13.7" customHeight="1">
      <c r="A36" s="68">
        <v>44494</v>
      </c>
      <c r="B36" s="96"/>
      <c r="C36" s="96"/>
      <c r="D36" s="96"/>
      <c r="E36" s="96"/>
      <c r="F36" s="96"/>
      <c r="G36" s="96"/>
      <c r="H36" s="97"/>
      <c r="I36" s="96"/>
      <c r="J36" s="100"/>
      <c r="K36" s="96"/>
      <c r="L36" s="96"/>
      <c r="M36" s="96"/>
      <c r="N36" s="96"/>
      <c r="O36" s="68">
        <v>44494</v>
      </c>
    </row>
    <row r="37" spans="1:15" ht="19.7" customHeight="1">
      <c r="A37" s="65" t="s">
        <v>861</v>
      </c>
      <c r="B37" s="94">
        <v>0</v>
      </c>
      <c r="C37" s="94" t="s">
        <v>0</v>
      </c>
      <c r="D37" s="94" t="s">
        <v>0</v>
      </c>
      <c r="E37" s="94" t="s">
        <v>887</v>
      </c>
      <c r="F37" s="94" t="s">
        <v>0</v>
      </c>
      <c r="G37" s="94" t="s">
        <v>0</v>
      </c>
      <c r="H37" s="95">
        <v>1050</v>
      </c>
      <c r="I37" s="94" t="s">
        <v>882</v>
      </c>
      <c r="J37" s="99" t="s">
        <v>881</v>
      </c>
      <c r="K37" s="94" t="s">
        <v>888</v>
      </c>
      <c r="L37" s="94" t="s">
        <v>882</v>
      </c>
      <c r="M37" s="94" t="s">
        <v>882</v>
      </c>
      <c r="N37" s="94">
        <v>45</v>
      </c>
      <c r="O37" s="65" t="s">
        <v>889</v>
      </c>
    </row>
    <row r="38" spans="1:15" ht="13.7" customHeight="1">
      <c r="A38" s="66">
        <v>44493</v>
      </c>
      <c r="B38" s="94"/>
      <c r="C38" s="94"/>
      <c r="D38" s="94"/>
      <c r="E38" s="94"/>
      <c r="F38" s="94"/>
      <c r="G38" s="94"/>
      <c r="H38" s="95"/>
      <c r="I38" s="94"/>
      <c r="J38" s="99"/>
      <c r="K38" s="94"/>
      <c r="L38" s="94"/>
      <c r="M38" s="94"/>
      <c r="N38" s="94"/>
      <c r="O38" s="66">
        <v>44494</v>
      </c>
    </row>
    <row r="39" spans="1:15" ht="19.7" customHeight="1">
      <c r="A39" s="67" t="s">
        <v>864</v>
      </c>
      <c r="B39" s="96">
        <v>0</v>
      </c>
      <c r="C39" s="96" t="s">
        <v>0</v>
      </c>
      <c r="D39" s="96" t="s">
        <v>0</v>
      </c>
      <c r="E39" s="96" t="s">
        <v>890</v>
      </c>
      <c r="F39" s="96" t="s">
        <v>0</v>
      </c>
      <c r="G39" s="96" t="s">
        <v>0</v>
      </c>
      <c r="H39" s="97">
        <v>1060</v>
      </c>
      <c r="I39" s="96" t="s">
        <v>0</v>
      </c>
      <c r="J39" s="96" t="s">
        <v>0</v>
      </c>
      <c r="K39" s="96" t="s">
        <v>888</v>
      </c>
      <c r="L39" s="96" t="s">
        <v>0</v>
      </c>
      <c r="M39" s="96" t="s">
        <v>0</v>
      </c>
      <c r="N39" s="96">
        <v>0</v>
      </c>
      <c r="O39" s="67" t="s">
        <v>864</v>
      </c>
    </row>
    <row r="40" spans="1:15" ht="13.7" customHeight="1">
      <c r="A40" s="68">
        <v>44494</v>
      </c>
      <c r="B40" s="96"/>
      <c r="C40" s="96"/>
      <c r="D40" s="96"/>
      <c r="E40" s="96"/>
      <c r="F40" s="96"/>
      <c r="G40" s="96"/>
      <c r="H40" s="97"/>
      <c r="I40" s="96"/>
      <c r="J40" s="96"/>
      <c r="K40" s="96"/>
      <c r="L40" s="96"/>
      <c r="M40" s="96"/>
      <c r="N40" s="96"/>
      <c r="O40" s="68">
        <v>44494</v>
      </c>
    </row>
    <row r="41" spans="1:15" ht="19.7" customHeight="1">
      <c r="A41" s="65" t="s">
        <v>861</v>
      </c>
      <c r="B41" s="94">
        <v>0</v>
      </c>
      <c r="C41" s="94" t="s">
        <v>0</v>
      </c>
      <c r="D41" s="94" t="s">
        <v>0</v>
      </c>
      <c r="E41" s="94" t="s">
        <v>891</v>
      </c>
      <c r="F41" s="94" t="s">
        <v>0</v>
      </c>
      <c r="G41" s="94" t="s">
        <v>0</v>
      </c>
      <c r="H41" s="95">
        <v>1070</v>
      </c>
      <c r="I41" s="94" t="s">
        <v>0</v>
      </c>
      <c r="J41" s="94" t="s">
        <v>0</v>
      </c>
      <c r="K41" s="94" t="s">
        <v>892</v>
      </c>
      <c r="L41" s="94" t="s">
        <v>0</v>
      </c>
      <c r="M41" s="94" t="s">
        <v>0</v>
      </c>
      <c r="N41" s="94">
        <v>0</v>
      </c>
      <c r="O41" s="65" t="s">
        <v>864</v>
      </c>
    </row>
    <row r="42" spans="1:15" ht="13.7" customHeight="1">
      <c r="A42" s="66">
        <v>44493</v>
      </c>
      <c r="B42" s="94"/>
      <c r="C42" s="94"/>
      <c r="D42" s="94"/>
      <c r="E42" s="94"/>
      <c r="F42" s="94"/>
      <c r="G42" s="94"/>
      <c r="H42" s="95"/>
      <c r="I42" s="94"/>
      <c r="J42" s="94"/>
      <c r="K42" s="94"/>
      <c r="L42" s="94"/>
      <c r="M42" s="94"/>
      <c r="N42" s="94"/>
      <c r="O42" s="66">
        <v>44494</v>
      </c>
    </row>
    <row r="43" spans="1:15" ht="19.7" customHeight="1">
      <c r="A43" s="67" t="s">
        <v>893</v>
      </c>
      <c r="B43" s="96">
        <v>1</v>
      </c>
      <c r="C43" s="96" t="s">
        <v>894</v>
      </c>
      <c r="D43" s="96" t="s">
        <v>894</v>
      </c>
      <c r="E43" s="96" t="s">
        <v>895</v>
      </c>
      <c r="F43" s="98" t="s">
        <v>896</v>
      </c>
      <c r="G43" s="96">
        <v>161.19999999999999</v>
      </c>
      <c r="H43" s="97">
        <v>1080</v>
      </c>
      <c r="I43" s="96" t="s">
        <v>0</v>
      </c>
      <c r="J43" s="96" t="s">
        <v>0</v>
      </c>
      <c r="K43" s="96" t="s">
        <v>897</v>
      </c>
      <c r="L43" s="96" t="s">
        <v>0</v>
      </c>
      <c r="M43" s="96" t="s">
        <v>0</v>
      </c>
      <c r="N43" s="96">
        <v>0</v>
      </c>
      <c r="O43" s="67" t="s">
        <v>864</v>
      </c>
    </row>
    <row r="44" spans="1:15" ht="13.7" customHeight="1">
      <c r="A44" s="68">
        <v>44494</v>
      </c>
      <c r="B44" s="96"/>
      <c r="C44" s="96"/>
      <c r="D44" s="96"/>
      <c r="E44" s="96"/>
      <c r="F44" s="98"/>
      <c r="G44" s="96"/>
      <c r="H44" s="97"/>
      <c r="I44" s="96"/>
      <c r="J44" s="96"/>
      <c r="K44" s="96"/>
      <c r="L44" s="96"/>
      <c r="M44" s="96"/>
      <c r="N44" s="96"/>
      <c r="O44" s="68">
        <v>44494</v>
      </c>
    </row>
    <row r="45" spans="1:15" ht="19.7" customHeight="1">
      <c r="A45" s="65" t="s">
        <v>898</v>
      </c>
      <c r="B45" s="94">
        <v>1</v>
      </c>
      <c r="C45" s="94" t="s">
        <v>899</v>
      </c>
      <c r="D45" s="94" t="s">
        <v>899</v>
      </c>
      <c r="E45" s="94" t="s">
        <v>900</v>
      </c>
      <c r="F45" s="101" t="s">
        <v>901</v>
      </c>
      <c r="G45" s="94">
        <v>149.19999999999999</v>
      </c>
      <c r="H45" s="95">
        <v>1090</v>
      </c>
      <c r="I45" s="94" t="s">
        <v>0</v>
      </c>
      <c r="J45" s="94" t="s">
        <v>0</v>
      </c>
      <c r="K45" s="94" t="s">
        <v>902</v>
      </c>
      <c r="L45" s="94" t="s">
        <v>0</v>
      </c>
      <c r="M45" s="94" t="s">
        <v>0</v>
      </c>
      <c r="N45" s="94">
        <v>0</v>
      </c>
      <c r="O45" s="65" t="s">
        <v>864</v>
      </c>
    </row>
    <row r="46" spans="1:15" ht="13.7" customHeight="1">
      <c r="A46" s="66">
        <v>44494</v>
      </c>
      <c r="B46" s="94"/>
      <c r="C46" s="94"/>
      <c r="D46" s="94"/>
      <c r="E46" s="94"/>
      <c r="F46" s="101"/>
      <c r="G46" s="94"/>
      <c r="H46" s="95"/>
      <c r="I46" s="94"/>
      <c r="J46" s="94"/>
      <c r="K46" s="94"/>
      <c r="L46" s="94"/>
      <c r="M46" s="94"/>
      <c r="N46" s="94"/>
      <c r="O46" s="66">
        <v>44494</v>
      </c>
    </row>
    <row r="47" spans="1:15" ht="19.7" customHeight="1">
      <c r="A47" s="67" t="s">
        <v>898</v>
      </c>
      <c r="B47" s="96">
        <v>1</v>
      </c>
      <c r="C47" s="96" t="s">
        <v>903</v>
      </c>
      <c r="D47" s="96" t="s">
        <v>903</v>
      </c>
      <c r="E47" s="96" t="s">
        <v>904</v>
      </c>
      <c r="F47" s="98" t="s">
        <v>905</v>
      </c>
      <c r="G47" s="96">
        <v>139.30000000000001</v>
      </c>
      <c r="H47" s="97">
        <v>1100</v>
      </c>
      <c r="I47" s="96" t="s">
        <v>0</v>
      </c>
      <c r="J47" s="96" t="s">
        <v>0</v>
      </c>
      <c r="K47" s="96" t="s">
        <v>906</v>
      </c>
      <c r="L47" s="96" t="s">
        <v>0</v>
      </c>
      <c r="M47" s="96" t="s">
        <v>0</v>
      </c>
      <c r="N47" s="96">
        <v>1</v>
      </c>
      <c r="O47" s="67" t="s">
        <v>907</v>
      </c>
    </row>
    <row r="48" spans="1:15" ht="13.7" customHeight="1">
      <c r="A48" s="68">
        <v>44494</v>
      </c>
      <c r="B48" s="96"/>
      <c r="C48" s="96"/>
      <c r="D48" s="96"/>
      <c r="E48" s="96"/>
      <c r="F48" s="98"/>
      <c r="G48" s="96"/>
      <c r="H48" s="97"/>
      <c r="I48" s="96"/>
      <c r="J48" s="96"/>
      <c r="K48" s="96"/>
      <c r="L48" s="96"/>
      <c r="M48" s="96"/>
      <c r="N48" s="96"/>
      <c r="O48" s="68">
        <v>44494</v>
      </c>
    </row>
    <row r="49" spans="1:15" ht="19.7" customHeight="1">
      <c r="A49" s="65" t="s">
        <v>908</v>
      </c>
      <c r="B49" s="94">
        <v>1</v>
      </c>
      <c r="C49" s="94" t="s">
        <v>909</v>
      </c>
      <c r="D49" s="94" t="s">
        <v>909</v>
      </c>
      <c r="E49" s="94" t="s">
        <v>910</v>
      </c>
      <c r="F49" s="101" t="s">
        <v>911</v>
      </c>
      <c r="G49" s="94">
        <v>133.30000000000001</v>
      </c>
      <c r="H49" s="95">
        <v>1110</v>
      </c>
      <c r="I49" s="94" t="s">
        <v>0</v>
      </c>
      <c r="J49" s="94" t="s">
        <v>0</v>
      </c>
      <c r="K49" s="94" t="s">
        <v>912</v>
      </c>
      <c r="L49" s="94" t="s">
        <v>0</v>
      </c>
      <c r="M49" s="94" t="s">
        <v>0</v>
      </c>
      <c r="N49" s="94">
        <v>1</v>
      </c>
      <c r="O49" s="65" t="s">
        <v>913</v>
      </c>
    </row>
    <row r="50" spans="1:15" ht="13.7" customHeight="1">
      <c r="A50" s="66">
        <v>44494</v>
      </c>
      <c r="B50" s="94"/>
      <c r="C50" s="94"/>
      <c r="D50" s="94"/>
      <c r="E50" s="94"/>
      <c r="F50" s="101"/>
      <c r="G50" s="94"/>
      <c r="H50" s="95"/>
      <c r="I50" s="94"/>
      <c r="J50" s="94"/>
      <c r="K50" s="94"/>
      <c r="L50" s="94"/>
      <c r="M50" s="94"/>
      <c r="N50" s="94"/>
      <c r="O50" s="66">
        <v>44494</v>
      </c>
    </row>
    <row r="51" spans="1:15" ht="19.7" customHeight="1">
      <c r="A51" s="67" t="s">
        <v>914</v>
      </c>
      <c r="B51" s="96">
        <v>1</v>
      </c>
      <c r="C51" s="96" t="s">
        <v>915</v>
      </c>
      <c r="D51" s="96" t="s">
        <v>915</v>
      </c>
      <c r="E51" s="96" t="s">
        <v>916</v>
      </c>
      <c r="F51" s="98" t="s">
        <v>917</v>
      </c>
      <c r="G51" s="96">
        <v>123.3</v>
      </c>
      <c r="H51" s="97">
        <v>1120</v>
      </c>
      <c r="I51" s="96" t="s">
        <v>906</v>
      </c>
      <c r="J51" s="100" t="s">
        <v>918</v>
      </c>
      <c r="K51" s="96" t="s">
        <v>919</v>
      </c>
      <c r="L51" s="96" t="s">
        <v>906</v>
      </c>
      <c r="M51" s="96" t="s">
        <v>906</v>
      </c>
      <c r="N51" s="96">
        <v>13</v>
      </c>
      <c r="O51" s="67" t="s">
        <v>920</v>
      </c>
    </row>
    <row r="52" spans="1:15" ht="13.7" customHeight="1">
      <c r="A52" s="68">
        <v>44494</v>
      </c>
      <c r="B52" s="96"/>
      <c r="C52" s="96"/>
      <c r="D52" s="96"/>
      <c r="E52" s="96"/>
      <c r="F52" s="98"/>
      <c r="G52" s="96"/>
      <c r="H52" s="97"/>
      <c r="I52" s="96"/>
      <c r="J52" s="100"/>
      <c r="K52" s="96"/>
      <c r="L52" s="96"/>
      <c r="M52" s="96"/>
      <c r="N52" s="96"/>
      <c r="O52" s="68">
        <v>44494</v>
      </c>
    </row>
    <row r="53" spans="1:15" ht="19.7" customHeight="1">
      <c r="A53" s="65" t="s">
        <v>864</v>
      </c>
      <c r="B53" s="94">
        <v>0</v>
      </c>
      <c r="C53" s="94" t="s">
        <v>0</v>
      </c>
      <c r="D53" s="94" t="s">
        <v>0</v>
      </c>
      <c r="E53" s="94" t="s">
        <v>921</v>
      </c>
      <c r="F53" s="94" t="s">
        <v>0</v>
      </c>
      <c r="G53" s="94" t="s">
        <v>0</v>
      </c>
      <c r="H53" s="95">
        <v>1130</v>
      </c>
      <c r="I53" s="94" t="s">
        <v>922</v>
      </c>
      <c r="J53" s="99" t="s">
        <v>923</v>
      </c>
      <c r="K53" s="94" t="s">
        <v>924</v>
      </c>
      <c r="L53" s="94" t="s">
        <v>922</v>
      </c>
      <c r="M53" s="94" t="s">
        <v>922</v>
      </c>
      <c r="N53" s="94">
        <v>3</v>
      </c>
      <c r="O53" s="65" t="s">
        <v>908</v>
      </c>
    </row>
    <row r="54" spans="1:15" ht="13.7" customHeight="1">
      <c r="A54" s="66">
        <v>44494</v>
      </c>
      <c r="B54" s="94"/>
      <c r="C54" s="94"/>
      <c r="D54" s="94"/>
      <c r="E54" s="94"/>
      <c r="F54" s="94"/>
      <c r="G54" s="94"/>
      <c r="H54" s="95"/>
      <c r="I54" s="94"/>
      <c r="J54" s="99"/>
      <c r="K54" s="94"/>
      <c r="L54" s="94"/>
      <c r="M54" s="94"/>
      <c r="N54" s="94"/>
      <c r="O54" s="66">
        <v>44494</v>
      </c>
    </row>
    <row r="55" spans="1:15" ht="19.7" customHeight="1">
      <c r="A55" s="67" t="s">
        <v>925</v>
      </c>
      <c r="B55" s="96">
        <v>1</v>
      </c>
      <c r="C55" s="96" t="s">
        <v>926</v>
      </c>
      <c r="D55" s="96" t="s">
        <v>926</v>
      </c>
      <c r="E55" s="96" t="s">
        <v>927</v>
      </c>
      <c r="F55" s="98" t="s">
        <v>928</v>
      </c>
      <c r="G55" s="96">
        <v>103.5</v>
      </c>
      <c r="H55" s="97">
        <v>1140</v>
      </c>
      <c r="I55" s="96" t="s">
        <v>929</v>
      </c>
      <c r="J55" s="100" t="s">
        <v>930</v>
      </c>
      <c r="K55" s="96" t="s">
        <v>931</v>
      </c>
      <c r="L55" s="96" t="s">
        <v>929</v>
      </c>
      <c r="M55" s="96" t="s">
        <v>929</v>
      </c>
      <c r="N55" s="96">
        <v>48</v>
      </c>
      <c r="O55" s="67" t="s">
        <v>932</v>
      </c>
    </row>
    <row r="56" spans="1:15" ht="13.7" customHeight="1">
      <c r="A56" s="68">
        <v>44494</v>
      </c>
      <c r="B56" s="96"/>
      <c r="C56" s="96"/>
      <c r="D56" s="96"/>
      <c r="E56" s="96"/>
      <c r="F56" s="98"/>
      <c r="G56" s="96"/>
      <c r="H56" s="97"/>
      <c r="I56" s="96"/>
      <c r="J56" s="100"/>
      <c r="K56" s="96"/>
      <c r="L56" s="96"/>
      <c r="M56" s="96"/>
      <c r="N56" s="96"/>
      <c r="O56" s="68">
        <v>44494</v>
      </c>
    </row>
    <row r="57" spans="1:15" ht="19.7" customHeight="1">
      <c r="A57" s="65" t="s">
        <v>864</v>
      </c>
      <c r="B57" s="94">
        <v>0</v>
      </c>
      <c r="C57" s="94" t="s">
        <v>0</v>
      </c>
      <c r="D57" s="94" t="s">
        <v>0</v>
      </c>
      <c r="E57" s="94" t="s">
        <v>933</v>
      </c>
      <c r="F57" s="94" t="s">
        <v>0</v>
      </c>
      <c r="G57" s="94" t="s">
        <v>0</v>
      </c>
      <c r="H57" s="95">
        <v>1150</v>
      </c>
      <c r="I57" s="94" t="s">
        <v>934</v>
      </c>
      <c r="J57" s="99" t="s">
        <v>935</v>
      </c>
      <c r="K57" s="94" t="s">
        <v>936</v>
      </c>
      <c r="L57" s="94" t="s">
        <v>934</v>
      </c>
      <c r="M57" s="94" t="s">
        <v>937</v>
      </c>
      <c r="N57" s="94">
        <v>59</v>
      </c>
      <c r="O57" s="65" t="s">
        <v>938</v>
      </c>
    </row>
    <row r="58" spans="1:15" ht="13.7" customHeight="1">
      <c r="A58" s="66">
        <v>44494</v>
      </c>
      <c r="B58" s="94"/>
      <c r="C58" s="94"/>
      <c r="D58" s="94"/>
      <c r="E58" s="94"/>
      <c r="F58" s="94"/>
      <c r="G58" s="94"/>
      <c r="H58" s="95"/>
      <c r="I58" s="94"/>
      <c r="J58" s="99"/>
      <c r="K58" s="94"/>
      <c r="L58" s="94"/>
      <c r="M58" s="94"/>
      <c r="N58" s="94"/>
      <c r="O58" s="66">
        <v>44494</v>
      </c>
    </row>
    <row r="59" spans="1:15" ht="19.7" customHeight="1">
      <c r="A59" s="67" t="s">
        <v>864</v>
      </c>
      <c r="B59" s="96">
        <v>0</v>
      </c>
      <c r="C59" s="96" t="s">
        <v>0</v>
      </c>
      <c r="D59" s="96" t="s">
        <v>0</v>
      </c>
      <c r="E59" s="96" t="s">
        <v>939</v>
      </c>
      <c r="F59" s="96" t="s">
        <v>0</v>
      </c>
      <c r="G59" s="96" t="s">
        <v>0</v>
      </c>
      <c r="H59" s="97">
        <v>1160</v>
      </c>
      <c r="I59" s="96" t="s">
        <v>940</v>
      </c>
      <c r="J59" s="100" t="s">
        <v>941</v>
      </c>
      <c r="K59" s="96" t="s">
        <v>942</v>
      </c>
      <c r="L59" s="96" t="s">
        <v>940</v>
      </c>
      <c r="M59" s="96" t="s">
        <v>936</v>
      </c>
      <c r="N59" s="96">
        <v>33</v>
      </c>
      <c r="O59" s="67" t="s">
        <v>943</v>
      </c>
    </row>
    <row r="60" spans="1:15" ht="13.7" customHeight="1">
      <c r="A60" s="68">
        <v>44494</v>
      </c>
      <c r="B60" s="96"/>
      <c r="C60" s="96"/>
      <c r="D60" s="96"/>
      <c r="E60" s="96"/>
      <c r="F60" s="96"/>
      <c r="G60" s="96"/>
      <c r="H60" s="97"/>
      <c r="I60" s="96"/>
      <c r="J60" s="100"/>
      <c r="K60" s="96"/>
      <c r="L60" s="96"/>
      <c r="M60" s="96"/>
      <c r="N60" s="96"/>
      <c r="O60" s="68">
        <v>44494</v>
      </c>
    </row>
    <row r="61" spans="1:15" ht="19.7" customHeight="1">
      <c r="A61" s="65" t="s">
        <v>944</v>
      </c>
      <c r="B61" s="94">
        <v>1</v>
      </c>
      <c r="C61" s="94" t="s">
        <v>945</v>
      </c>
      <c r="D61" s="94" t="s">
        <v>945</v>
      </c>
      <c r="E61" s="94" t="s">
        <v>946</v>
      </c>
      <c r="F61" s="101" t="s">
        <v>947</v>
      </c>
      <c r="G61" s="94">
        <v>73.599999999999994</v>
      </c>
      <c r="H61" s="95">
        <v>1170</v>
      </c>
      <c r="I61" s="94" t="s">
        <v>948</v>
      </c>
      <c r="J61" s="99" t="s">
        <v>949</v>
      </c>
      <c r="K61" s="94" t="s">
        <v>950</v>
      </c>
      <c r="L61" s="94" t="s">
        <v>948</v>
      </c>
      <c r="M61" s="94" t="s">
        <v>951</v>
      </c>
      <c r="N61" s="94">
        <v>84</v>
      </c>
      <c r="O61" s="65" t="s">
        <v>952</v>
      </c>
    </row>
    <row r="62" spans="1:15" ht="13.7" customHeight="1">
      <c r="A62" s="66">
        <v>44494</v>
      </c>
      <c r="B62" s="94"/>
      <c r="C62" s="94"/>
      <c r="D62" s="94"/>
      <c r="E62" s="94"/>
      <c r="F62" s="101"/>
      <c r="G62" s="94"/>
      <c r="H62" s="95"/>
      <c r="I62" s="94"/>
      <c r="J62" s="99"/>
      <c r="K62" s="94"/>
      <c r="L62" s="94"/>
      <c r="M62" s="94"/>
      <c r="N62" s="94"/>
      <c r="O62" s="66">
        <v>44494</v>
      </c>
    </row>
    <row r="63" spans="1:15" ht="19.7" customHeight="1">
      <c r="A63" s="67" t="s">
        <v>953</v>
      </c>
      <c r="B63" s="96">
        <v>1</v>
      </c>
      <c r="C63" s="96" t="s">
        <v>954</v>
      </c>
      <c r="D63" s="96" t="s">
        <v>954</v>
      </c>
      <c r="E63" s="96" t="s">
        <v>955</v>
      </c>
      <c r="F63" s="98" t="s">
        <v>947</v>
      </c>
      <c r="G63" s="96">
        <v>65.400000000000006</v>
      </c>
      <c r="H63" s="97">
        <v>1180</v>
      </c>
      <c r="I63" s="96" t="s">
        <v>956</v>
      </c>
      <c r="J63" s="100" t="s">
        <v>957</v>
      </c>
      <c r="K63" s="96" t="s">
        <v>958</v>
      </c>
      <c r="L63" s="96" t="s">
        <v>956</v>
      </c>
      <c r="M63" s="96" t="s">
        <v>959</v>
      </c>
      <c r="N63" s="96">
        <v>200</v>
      </c>
      <c r="O63" s="67" t="s">
        <v>960</v>
      </c>
    </row>
    <row r="64" spans="1:15" ht="13.7" customHeight="1">
      <c r="A64" s="68">
        <v>44494</v>
      </c>
      <c r="B64" s="96"/>
      <c r="C64" s="96"/>
      <c r="D64" s="96"/>
      <c r="E64" s="96"/>
      <c r="F64" s="98"/>
      <c r="G64" s="96"/>
      <c r="H64" s="97"/>
      <c r="I64" s="96"/>
      <c r="J64" s="100"/>
      <c r="K64" s="96"/>
      <c r="L64" s="96"/>
      <c r="M64" s="96"/>
      <c r="N64" s="96"/>
      <c r="O64" s="68">
        <v>44494</v>
      </c>
    </row>
    <row r="65" spans="1:15" ht="12.6" customHeight="1">
      <c r="A65" s="65" t="s">
        <v>961</v>
      </c>
      <c r="B65" s="94">
        <v>1</v>
      </c>
      <c r="C65" s="94" t="s">
        <v>962</v>
      </c>
      <c r="D65" s="94" t="s">
        <v>962</v>
      </c>
      <c r="E65" s="94" t="s">
        <v>963</v>
      </c>
      <c r="F65" s="101" t="s">
        <v>964</v>
      </c>
      <c r="G65" s="94">
        <v>56.3</v>
      </c>
      <c r="H65" s="95">
        <v>1190</v>
      </c>
      <c r="I65" s="94" t="s">
        <v>965</v>
      </c>
      <c r="J65" s="99" t="s">
        <v>966</v>
      </c>
      <c r="K65" s="94" t="s">
        <v>967</v>
      </c>
      <c r="L65" s="94" t="s">
        <v>965</v>
      </c>
      <c r="M65" s="94" t="s">
        <v>968</v>
      </c>
      <c r="N65" s="94">
        <v>59</v>
      </c>
      <c r="O65" s="65" t="s">
        <v>969</v>
      </c>
    </row>
    <row r="66" spans="1:15" ht="13.7" customHeight="1">
      <c r="A66" s="66">
        <v>44494</v>
      </c>
      <c r="B66" s="94"/>
      <c r="C66" s="94"/>
      <c r="D66" s="94"/>
      <c r="E66" s="94"/>
      <c r="F66" s="101"/>
      <c r="G66" s="94"/>
      <c r="H66" s="95"/>
      <c r="I66" s="94"/>
      <c r="J66" s="99"/>
      <c r="K66" s="94"/>
      <c r="L66" s="94"/>
      <c r="M66" s="94"/>
      <c r="N66" s="94"/>
      <c r="O66" s="66">
        <v>44494</v>
      </c>
    </row>
    <row r="67" spans="1:15" ht="19.7" customHeight="1">
      <c r="A67" s="67" t="s">
        <v>970</v>
      </c>
      <c r="B67" s="96">
        <v>39</v>
      </c>
      <c r="C67" s="96" t="s">
        <v>0</v>
      </c>
      <c r="D67" s="96" t="s">
        <v>0</v>
      </c>
      <c r="E67" s="96" t="s">
        <v>971</v>
      </c>
      <c r="F67" s="96" t="s">
        <v>0</v>
      </c>
      <c r="G67" s="96" t="s">
        <v>0</v>
      </c>
      <c r="H67" s="97">
        <v>1200</v>
      </c>
      <c r="I67" s="96" t="s">
        <v>972</v>
      </c>
      <c r="J67" s="100" t="s">
        <v>973</v>
      </c>
      <c r="K67" s="96" t="s">
        <v>974</v>
      </c>
      <c r="L67" s="96" t="s">
        <v>972</v>
      </c>
      <c r="M67" s="96" t="s">
        <v>975</v>
      </c>
      <c r="N67" s="96">
        <v>416</v>
      </c>
      <c r="O67" s="67" t="s">
        <v>976</v>
      </c>
    </row>
    <row r="68" spans="1:15" ht="13.7" customHeight="1">
      <c r="A68" s="68">
        <v>44494</v>
      </c>
      <c r="B68" s="96"/>
      <c r="C68" s="96"/>
      <c r="D68" s="96"/>
      <c r="E68" s="96"/>
      <c r="F68" s="96"/>
      <c r="G68" s="96"/>
      <c r="H68" s="97"/>
      <c r="I68" s="96"/>
      <c r="J68" s="100"/>
      <c r="K68" s="96"/>
      <c r="L68" s="96"/>
      <c r="M68" s="96"/>
      <c r="N68" s="96"/>
      <c r="O68" s="68">
        <v>44494</v>
      </c>
    </row>
    <row r="69" spans="1:15" ht="12.6" customHeight="1">
      <c r="A69" s="65" t="s">
        <v>977</v>
      </c>
      <c r="B69" s="94">
        <v>3</v>
      </c>
      <c r="C69" s="94" t="s">
        <v>978</v>
      </c>
      <c r="D69" s="94" t="s">
        <v>979</v>
      </c>
      <c r="E69" s="94" t="s">
        <v>980</v>
      </c>
      <c r="F69" s="101" t="s">
        <v>981</v>
      </c>
      <c r="G69" s="94">
        <v>44.6</v>
      </c>
      <c r="H69" s="95">
        <v>1210</v>
      </c>
      <c r="I69" s="94" t="s">
        <v>982</v>
      </c>
      <c r="J69" s="99" t="s">
        <v>983</v>
      </c>
      <c r="K69" s="94" t="s">
        <v>984</v>
      </c>
      <c r="L69" s="94" t="s">
        <v>982</v>
      </c>
      <c r="M69" s="94" t="s">
        <v>985</v>
      </c>
      <c r="N69" s="94">
        <v>745</v>
      </c>
      <c r="O69" s="65" t="s">
        <v>986</v>
      </c>
    </row>
    <row r="70" spans="1:15" ht="13.7" customHeight="1">
      <c r="A70" s="66">
        <v>44494</v>
      </c>
      <c r="B70" s="94"/>
      <c r="C70" s="94"/>
      <c r="D70" s="94"/>
      <c r="E70" s="94"/>
      <c r="F70" s="101"/>
      <c r="G70" s="94"/>
      <c r="H70" s="95"/>
      <c r="I70" s="94"/>
      <c r="J70" s="99"/>
      <c r="K70" s="94"/>
      <c r="L70" s="94"/>
      <c r="M70" s="94"/>
      <c r="N70" s="94"/>
      <c r="O70" s="66">
        <v>44494</v>
      </c>
    </row>
    <row r="71" spans="1:15" ht="19.7" customHeight="1">
      <c r="A71" s="67" t="s">
        <v>987</v>
      </c>
      <c r="B71" s="96">
        <v>30</v>
      </c>
      <c r="C71" s="96" t="s">
        <v>988</v>
      </c>
      <c r="D71" s="96" t="s">
        <v>989</v>
      </c>
      <c r="E71" s="96" t="s">
        <v>990</v>
      </c>
      <c r="F71" s="100" t="s">
        <v>949</v>
      </c>
      <c r="G71" s="96">
        <v>28.7</v>
      </c>
      <c r="H71" s="97">
        <v>1220</v>
      </c>
      <c r="I71" s="96" t="s">
        <v>991</v>
      </c>
      <c r="J71" s="100" t="s">
        <v>992</v>
      </c>
      <c r="K71" s="96" t="s">
        <v>993</v>
      </c>
      <c r="L71" s="96" t="s">
        <v>994</v>
      </c>
      <c r="M71" s="96" t="s">
        <v>995</v>
      </c>
      <c r="N71" s="96">
        <v>192</v>
      </c>
      <c r="O71" s="67" t="s">
        <v>996</v>
      </c>
    </row>
    <row r="72" spans="1:15" ht="13.7" customHeight="1">
      <c r="A72" s="68">
        <v>44494</v>
      </c>
      <c r="B72" s="96"/>
      <c r="C72" s="96"/>
      <c r="D72" s="96"/>
      <c r="E72" s="96"/>
      <c r="F72" s="100"/>
      <c r="G72" s="96"/>
      <c r="H72" s="97"/>
      <c r="I72" s="96"/>
      <c r="J72" s="100"/>
      <c r="K72" s="96"/>
      <c r="L72" s="96"/>
      <c r="M72" s="96"/>
      <c r="N72" s="96"/>
      <c r="O72" s="68">
        <v>44494</v>
      </c>
    </row>
    <row r="73" spans="1:15" ht="19.7" customHeight="1">
      <c r="A73" s="65" t="s">
        <v>997</v>
      </c>
      <c r="B73" s="94">
        <v>507</v>
      </c>
      <c r="C73" s="94" t="s">
        <v>998</v>
      </c>
      <c r="D73" s="94" t="s">
        <v>999</v>
      </c>
      <c r="E73" s="94" t="s">
        <v>1000</v>
      </c>
      <c r="F73" s="101" t="s">
        <v>1001</v>
      </c>
      <c r="G73" s="94">
        <v>31.1</v>
      </c>
      <c r="H73" s="95">
        <v>1230</v>
      </c>
      <c r="I73" s="94" t="s">
        <v>1002</v>
      </c>
      <c r="J73" s="99" t="s">
        <v>1003</v>
      </c>
      <c r="K73" s="94" t="s">
        <v>1004</v>
      </c>
      <c r="L73" s="94" t="s">
        <v>1005</v>
      </c>
      <c r="M73" s="94" t="s">
        <v>1006</v>
      </c>
      <c r="N73" s="94">
        <v>345</v>
      </c>
      <c r="O73" s="65" t="s">
        <v>1007</v>
      </c>
    </row>
    <row r="74" spans="1:15" ht="13.7" customHeight="1">
      <c r="A74" s="66">
        <v>44494</v>
      </c>
      <c r="B74" s="94"/>
      <c r="C74" s="94"/>
      <c r="D74" s="94"/>
      <c r="E74" s="94"/>
      <c r="F74" s="101"/>
      <c r="G74" s="94"/>
      <c r="H74" s="95"/>
      <c r="I74" s="94"/>
      <c r="J74" s="99"/>
      <c r="K74" s="94"/>
      <c r="L74" s="94"/>
      <c r="M74" s="94"/>
      <c r="N74" s="94"/>
      <c r="O74" s="66">
        <v>44494</v>
      </c>
    </row>
    <row r="75" spans="1:15" ht="19.7" customHeight="1">
      <c r="A75" s="67" t="s">
        <v>1008</v>
      </c>
      <c r="B75" s="102">
        <v>1599</v>
      </c>
      <c r="C75" s="96" t="s">
        <v>1009</v>
      </c>
      <c r="D75" s="96" t="s">
        <v>1010</v>
      </c>
      <c r="E75" s="96" t="s">
        <v>1011</v>
      </c>
      <c r="F75" s="98" t="s">
        <v>1012</v>
      </c>
      <c r="G75" s="96">
        <v>25.4</v>
      </c>
      <c r="H75" s="103">
        <v>1240</v>
      </c>
      <c r="I75" s="96" t="s">
        <v>1013</v>
      </c>
      <c r="J75" s="100" t="s">
        <v>1014</v>
      </c>
      <c r="K75" s="96" t="s">
        <v>1015</v>
      </c>
      <c r="L75" s="96" t="s">
        <v>1016</v>
      </c>
      <c r="M75" s="96" t="s">
        <v>1017</v>
      </c>
      <c r="N75" s="96">
        <v>929</v>
      </c>
      <c r="O75" s="67" t="s">
        <v>952</v>
      </c>
    </row>
    <row r="76" spans="1:15" ht="13.7" customHeight="1">
      <c r="A76" s="68">
        <v>44494</v>
      </c>
      <c r="B76" s="102"/>
      <c r="C76" s="96"/>
      <c r="D76" s="96"/>
      <c r="E76" s="96"/>
      <c r="F76" s="98"/>
      <c r="G76" s="96"/>
      <c r="H76" s="103"/>
      <c r="I76" s="96"/>
      <c r="J76" s="100"/>
      <c r="K76" s="96"/>
      <c r="L76" s="96"/>
      <c r="M76" s="96"/>
      <c r="N76" s="96"/>
      <c r="O76" s="68">
        <v>44494</v>
      </c>
    </row>
    <row r="77" spans="1:15" ht="12.6" customHeight="1">
      <c r="A77" s="65" t="s">
        <v>1018</v>
      </c>
      <c r="B77" s="94">
        <v>178</v>
      </c>
      <c r="C77" s="94" t="s">
        <v>1019</v>
      </c>
      <c r="D77" s="94" t="s">
        <v>1020</v>
      </c>
      <c r="E77" s="94" t="s">
        <v>1021</v>
      </c>
      <c r="F77" s="101" t="s">
        <v>1022</v>
      </c>
      <c r="G77" s="94">
        <v>21</v>
      </c>
      <c r="H77" s="95">
        <v>1250</v>
      </c>
      <c r="I77" s="94" t="s">
        <v>1023</v>
      </c>
      <c r="J77" s="99" t="s">
        <v>1024</v>
      </c>
      <c r="K77" s="94" t="s">
        <v>1025</v>
      </c>
      <c r="L77" s="94" t="s">
        <v>1023</v>
      </c>
      <c r="M77" s="94" t="s">
        <v>1026</v>
      </c>
      <c r="N77" s="94">
        <v>15</v>
      </c>
      <c r="O77" s="65" t="s">
        <v>1027</v>
      </c>
    </row>
    <row r="78" spans="1:15" ht="13.7" customHeight="1">
      <c r="A78" s="66">
        <v>44494</v>
      </c>
      <c r="B78" s="94"/>
      <c r="C78" s="94"/>
      <c r="D78" s="94"/>
      <c r="E78" s="94"/>
      <c r="F78" s="101"/>
      <c r="G78" s="94"/>
      <c r="H78" s="95"/>
      <c r="I78" s="94"/>
      <c r="J78" s="99"/>
      <c r="K78" s="94"/>
      <c r="L78" s="94"/>
      <c r="M78" s="94"/>
      <c r="N78" s="94"/>
      <c r="O78" s="66">
        <v>44494</v>
      </c>
    </row>
    <row r="79" spans="1:15" ht="19.7" customHeight="1">
      <c r="A79" s="67" t="s">
        <v>1028</v>
      </c>
      <c r="B79" s="96">
        <v>391</v>
      </c>
      <c r="C79" s="96" t="s">
        <v>1005</v>
      </c>
      <c r="D79" s="96" t="s">
        <v>1029</v>
      </c>
      <c r="E79" s="96" t="s">
        <v>1030</v>
      </c>
      <c r="F79" s="98" t="s">
        <v>1031</v>
      </c>
      <c r="G79" s="96">
        <v>17</v>
      </c>
      <c r="H79" s="97">
        <v>1260</v>
      </c>
      <c r="I79" s="96" t="s">
        <v>1032</v>
      </c>
      <c r="J79" s="100" t="s">
        <v>1014</v>
      </c>
      <c r="K79" s="96" t="s">
        <v>1033</v>
      </c>
      <c r="L79" s="96" t="s">
        <v>1032</v>
      </c>
      <c r="M79" s="96" t="s">
        <v>1032</v>
      </c>
      <c r="N79" s="96">
        <v>18</v>
      </c>
      <c r="O79" s="67" t="s">
        <v>1028</v>
      </c>
    </row>
    <row r="80" spans="1:15" ht="13.7" customHeight="1">
      <c r="A80" s="68">
        <v>44494</v>
      </c>
      <c r="B80" s="96"/>
      <c r="C80" s="96"/>
      <c r="D80" s="96"/>
      <c r="E80" s="96"/>
      <c r="F80" s="98"/>
      <c r="G80" s="96"/>
      <c r="H80" s="97"/>
      <c r="I80" s="96"/>
      <c r="J80" s="100"/>
      <c r="K80" s="96"/>
      <c r="L80" s="96"/>
      <c r="M80" s="96"/>
      <c r="N80" s="96"/>
      <c r="O80" s="68">
        <v>44494</v>
      </c>
    </row>
    <row r="81" spans="1:15" ht="12.6" customHeight="1">
      <c r="A81" s="65" t="s">
        <v>1034</v>
      </c>
      <c r="B81" s="94">
        <v>680</v>
      </c>
      <c r="C81" s="94" t="s">
        <v>1035</v>
      </c>
      <c r="D81" s="94" t="s">
        <v>1036</v>
      </c>
      <c r="E81" s="94" t="s">
        <v>1037</v>
      </c>
      <c r="F81" s="101" t="s">
        <v>1038</v>
      </c>
      <c r="G81" s="94">
        <v>13</v>
      </c>
      <c r="H81" s="95">
        <v>1270</v>
      </c>
      <c r="I81" s="94" t="s">
        <v>0</v>
      </c>
      <c r="J81" s="94" t="s">
        <v>0</v>
      </c>
      <c r="K81" s="94" t="s">
        <v>1039</v>
      </c>
      <c r="L81" s="94" t="s">
        <v>0</v>
      </c>
      <c r="M81" s="94" t="s">
        <v>0</v>
      </c>
      <c r="N81" s="94">
        <v>26</v>
      </c>
      <c r="O81" s="65" t="s">
        <v>1040</v>
      </c>
    </row>
    <row r="82" spans="1:15" ht="13.7" customHeight="1">
      <c r="A82" s="66">
        <v>44494</v>
      </c>
      <c r="B82" s="94"/>
      <c r="C82" s="94"/>
      <c r="D82" s="94"/>
      <c r="E82" s="94"/>
      <c r="F82" s="101"/>
      <c r="G82" s="94"/>
      <c r="H82" s="95"/>
      <c r="I82" s="94"/>
      <c r="J82" s="94"/>
      <c r="K82" s="94"/>
      <c r="L82" s="94"/>
      <c r="M82" s="94"/>
      <c r="N82" s="94"/>
      <c r="O82" s="66">
        <v>44494</v>
      </c>
    </row>
    <row r="83" spans="1:15" ht="12.6" customHeight="1">
      <c r="A83" s="67" t="s">
        <v>1041</v>
      </c>
      <c r="B83" s="102">
        <v>1591</v>
      </c>
      <c r="C83" s="96" t="s">
        <v>1037</v>
      </c>
      <c r="D83" s="96" t="s">
        <v>1042</v>
      </c>
      <c r="E83" s="96" t="s">
        <v>1043</v>
      </c>
      <c r="F83" s="98" t="s">
        <v>1044</v>
      </c>
      <c r="G83" s="96">
        <v>10</v>
      </c>
      <c r="H83" s="97">
        <v>1280</v>
      </c>
      <c r="I83" s="96" t="s">
        <v>1045</v>
      </c>
      <c r="J83" s="100" t="s">
        <v>1046</v>
      </c>
      <c r="K83" s="96" t="s">
        <v>1047</v>
      </c>
      <c r="L83" s="96" t="s">
        <v>1045</v>
      </c>
      <c r="M83" s="96" t="s">
        <v>1048</v>
      </c>
      <c r="N83" s="96">
        <v>17</v>
      </c>
      <c r="O83" s="67" t="s">
        <v>997</v>
      </c>
    </row>
    <row r="84" spans="1:15" ht="13.7" customHeight="1">
      <c r="A84" s="68">
        <v>44494</v>
      </c>
      <c r="B84" s="102"/>
      <c r="C84" s="96"/>
      <c r="D84" s="96"/>
      <c r="E84" s="96"/>
      <c r="F84" s="98"/>
      <c r="G84" s="96"/>
      <c r="H84" s="97"/>
      <c r="I84" s="96"/>
      <c r="J84" s="100"/>
      <c r="K84" s="96"/>
      <c r="L84" s="96"/>
      <c r="M84" s="96"/>
      <c r="N84" s="96"/>
      <c r="O84" s="68">
        <v>44494</v>
      </c>
    </row>
    <row r="85" spans="1:15" ht="12.6" customHeight="1">
      <c r="A85" s="65" t="s">
        <v>969</v>
      </c>
      <c r="B85" s="94">
        <v>162</v>
      </c>
      <c r="C85" s="94" t="s">
        <v>1049</v>
      </c>
      <c r="D85" s="94" t="s">
        <v>1050</v>
      </c>
      <c r="E85" s="94" t="s">
        <v>1051</v>
      </c>
      <c r="F85" s="101" t="s">
        <v>1052</v>
      </c>
      <c r="G85" s="94">
        <v>7</v>
      </c>
      <c r="H85" s="95">
        <v>1290</v>
      </c>
      <c r="I85" s="94" t="s">
        <v>0</v>
      </c>
      <c r="J85" s="94" t="s">
        <v>0</v>
      </c>
      <c r="K85" s="94" t="s">
        <v>1053</v>
      </c>
      <c r="L85" s="94" t="s">
        <v>0</v>
      </c>
      <c r="M85" s="94" t="s">
        <v>0</v>
      </c>
      <c r="N85" s="94">
        <v>0</v>
      </c>
      <c r="O85" s="65" t="s">
        <v>864</v>
      </c>
    </row>
    <row r="86" spans="1:15" ht="13.7" customHeight="1">
      <c r="A86" s="66">
        <v>44494</v>
      </c>
      <c r="B86" s="94"/>
      <c r="C86" s="94"/>
      <c r="D86" s="94"/>
      <c r="E86" s="94"/>
      <c r="F86" s="101"/>
      <c r="G86" s="94"/>
      <c r="H86" s="95"/>
      <c r="I86" s="94"/>
      <c r="J86" s="94"/>
      <c r="K86" s="94"/>
      <c r="L86" s="94"/>
      <c r="M86" s="94"/>
      <c r="N86" s="94"/>
      <c r="O86" s="66">
        <v>44494</v>
      </c>
    </row>
    <row r="87" spans="1:15" ht="12.6" customHeight="1">
      <c r="A87" s="67" t="s">
        <v>1008</v>
      </c>
      <c r="B87" s="96">
        <v>686</v>
      </c>
      <c r="C87" s="96" t="s">
        <v>1054</v>
      </c>
      <c r="D87" s="96" t="s">
        <v>1055</v>
      </c>
      <c r="E87" s="96" t="s">
        <v>956</v>
      </c>
      <c r="F87" s="98" t="s">
        <v>1056</v>
      </c>
      <c r="G87" s="96">
        <v>5.7</v>
      </c>
      <c r="H87" s="97">
        <v>1300</v>
      </c>
      <c r="I87" s="96" t="s">
        <v>1057</v>
      </c>
      <c r="J87" s="100" t="s">
        <v>1058</v>
      </c>
      <c r="K87" s="96" t="s">
        <v>1059</v>
      </c>
      <c r="L87" s="96" t="s">
        <v>1057</v>
      </c>
      <c r="M87" s="96" t="s">
        <v>1057</v>
      </c>
      <c r="N87" s="96">
        <v>3</v>
      </c>
      <c r="O87" s="67" t="s">
        <v>1060</v>
      </c>
    </row>
    <row r="88" spans="1:15" ht="13.7" customHeight="1">
      <c r="A88" s="68">
        <v>44494</v>
      </c>
      <c r="B88" s="96"/>
      <c r="C88" s="96"/>
      <c r="D88" s="96"/>
      <c r="E88" s="96"/>
      <c r="F88" s="98"/>
      <c r="G88" s="96"/>
      <c r="H88" s="97"/>
      <c r="I88" s="96"/>
      <c r="J88" s="100"/>
      <c r="K88" s="96"/>
      <c r="L88" s="96"/>
      <c r="M88" s="96"/>
      <c r="N88" s="96"/>
      <c r="O88" s="68">
        <v>44494</v>
      </c>
    </row>
    <row r="89" spans="1:15" ht="12.6" customHeight="1">
      <c r="A89" s="65" t="s">
        <v>1061</v>
      </c>
      <c r="B89" s="94">
        <v>30</v>
      </c>
      <c r="C89" s="94" t="s">
        <v>1062</v>
      </c>
      <c r="D89" s="94" t="s">
        <v>1063</v>
      </c>
      <c r="E89" s="94" t="s">
        <v>1064</v>
      </c>
      <c r="F89" s="101" t="s">
        <v>1056</v>
      </c>
      <c r="G89" s="94">
        <v>4.5999999999999996</v>
      </c>
      <c r="H89" s="95">
        <v>1310</v>
      </c>
      <c r="I89" s="94" t="s">
        <v>1065</v>
      </c>
      <c r="J89" s="99" t="s">
        <v>1066</v>
      </c>
      <c r="K89" s="94" t="s">
        <v>1067</v>
      </c>
      <c r="L89" s="94" t="s">
        <v>1065</v>
      </c>
      <c r="M89" s="94" t="s">
        <v>1065</v>
      </c>
      <c r="N89" s="94">
        <v>3</v>
      </c>
      <c r="O89" s="65" t="s">
        <v>1060</v>
      </c>
    </row>
    <row r="90" spans="1:15" ht="13.7" customHeight="1">
      <c r="A90" s="66">
        <v>44494</v>
      </c>
      <c r="B90" s="94"/>
      <c r="C90" s="94"/>
      <c r="D90" s="94"/>
      <c r="E90" s="94"/>
      <c r="F90" s="101"/>
      <c r="G90" s="94"/>
      <c r="H90" s="95"/>
      <c r="I90" s="94"/>
      <c r="J90" s="99"/>
      <c r="K90" s="94"/>
      <c r="L90" s="94"/>
      <c r="M90" s="94"/>
      <c r="N90" s="94"/>
      <c r="O90" s="66">
        <v>44494</v>
      </c>
    </row>
    <row r="91" spans="1:15" ht="12.6" customHeight="1">
      <c r="A91" s="67" t="s">
        <v>1068</v>
      </c>
      <c r="B91" s="96">
        <v>199</v>
      </c>
      <c r="C91" s="96" t="s">
        <v>1069</v>
      </c>
      <c r="D91" s="96" t="s">
        <v>937</v>
      </c>
      <c r="E91" s="96" t="s">
        <v>1070</v>
      </c>
      <c r="F91" s="98" t="s">
        <v>1071</v>
      </c>
      <c r="G91" s="96">
        <v>3.4</v>
      </c>
      <c r="H91" s="97">
        <v>1320</v>
      </c>
      <c r="I91" s="96" t="s">
        <v>0</v>
      </c>
      <c r="J91" s="96" t="s">
        <v>0</v>
      </c>
      <c r="K91" s="96" t="s">
        <v>1072</v>
      </c>
      <c r="L91" s="96" t="s">
        <v>0</v>
      </c>
      <c r="M91" s="96" t="s">
        <v>0</v>
      </c>
      <c r="N91" s="96">
        <v>0</v>
      </c>
      <c r="O91" s="67" t="s">
        <v>864</v>
      </c>
    </row>
    <row r="92" spans="1:15" ht="13.7" customHeight="1">
      <c r="A92" s="68">
        <v>44494</v>
      </c>
      <c r="B92" s="96"/>
      <c r="C92" s="96"/>
      <c r="D92" s="96"/>
      <c r="E92" s="96"/>
      <c r="F92" s="98"/>
      <c r="G92" s="96"/>
      <c r="H92" s="97"/>
      <c r="I92" s="96"/>
      <c r="J92" s="96"/>
      <c r="K92" s="96"/>
      <c r="L92" s="96"/>
      <c r="M92" s="96"/>
      <c r="N92" s="96"/>
      <c r="O92" s="68">
        <v>44494</v>
      </c>
    </row>
    <row r="93" spans="1:15" ht="12.6" customHeight="1">
      <c r="A93" s="65" t="s">
        <v>1073</v>
      </c>
      <c r="B93" s="94">
        <v>45</v>
      </c>
      <c r="C93" s="94" t="s">
        <v>1070</v>
      </c>
      <c r="D93" s="94" t="s">
        <v>931</v>
      </c>
      <c r="E93" s="94" t="s">
        <v>1074</v>
      </c>
      <c r="F93" s="101" t="s">
        <v>1075</v>
      </c>
      <c r="G93" s="94">
        <v>2.6</v>
      </c>
      <c r="H93" s="95">
        <v>1330</v>
      </c>
      <c r="I93" s="94" t="s">
        <v>1076</v>
      </c>
      <c r="J93" s="99" t="s">
        <v>1077</v>
      </c>
      <c r="K93" s="94" t="s">
        <v>1078</v>
      </c>
      <c r="L93" s="94" t="s">
        <v>1079</v>
      </c>
      <c r="M93" s="94" t="s">
        <v>1076</v>
      </c>
      <c r="N93" s="94">
        <v>2</v>
      </c>
      <c r="O93" s="65" t="s">
        <v>961</v>
      </c>
    </row>
    <row r="94" spans="1:15" ht="13.7" customHeight="1">
      <c r="A94" s="66">
        <v>44494</v>
      </c>
      <c r="B94" s="94"/>
      <c r="C94" s="94"/>
      <c r="D94" s="94"/>
      <c r="E94" s="94"/>
      <c r="F94" s="101"/>
      <c r="G94" s="94"/>
      <c r="H94" s="95"/>
      <c r="I94" s="94"/>
      <c r="J94" s="99"/>
      <c r="K94" s="94"/>
      <c r="L94" s="94"/>
      <c r="M94" s="94"/>
      <c r="N94" s="94"/>
      <c r="O94" s="66">
        <v>44494</v>
      </c>
    </row>
    <row r="95" spans="1:15" ht="12.6" customHeight="1">
      <c r="A95" s="67" t="s">
        <v>1080</v>
      </c>
      <c r="B95" s="96">
        <v>108</v>
      </c>
      <c r="C95" s="96" t="s">
        <v>1074</v>
      </c>
      <c r="D95" s="96" t="s">
        <v>1081</v>
      </c>
      <c r="E95" s="96" t="s">
        <v>1082</v>
      </c>
      <c r="F95" s="98" t="s">
        <v>1083</v>
      </c>
      <c r="G95" s="96">
        <v>2.1</v>
      </c>
      <c r="H95" s="97">
        <v>1340</v>
      </c>
      <c r="I95" s="96" t="s">
        <v>0</v>
      </c>
      <c r="J95" s="96" t="s">
        <v>0</v>
      </c>
      <c r="K95" s="96" t="s">
        <v>1084</v>
      </c>
      <c r="L95" s="96" t="s">
        <v>0</v>
      </c>
      <c r="M95" s="96" t="s">
        <v>0</v>
      </c>
      <c r="N95" s="96">
        <v>0</v>
      </c>
      <c r="O95" s="67" t="s">
        <v>884</v>
      </c>
    </row>
    <row r="96" spans="1:15" ht="13.7" customHeight="1">
      <c r="A96" s="68">
        <v>44494</v>
      </c>
      <c r="B96" s="96"/>
      <c r="C96" s="96"/>
      <c r="D96" s="96"/>
      <c r="E96" s="96"/>
      <c r="F96" s="98"/>
      <c r="G96" s="96"/>
      <c r="H96" s="97"/>
      <c r="I96" s="96"/>
      <c r="J96" s="96"/>
      <c r="K96" s="96"/>
      <c r="L96" s="96"/>
      <c r="M96" s="96"/>
      <c r="N96" s="96"/>
      <c r="O96" s="68">
        <v>44494</v>
      </c>
    </row>
    <row r="97" spans="1:15" ht="12.6" customHeight="1">
      <c r="A97" s="65" t="s">
        <v>907</v>
      </c>
      <c r="B97" s="94">
        <v>223</v>
      </c>
      <c r="C97" s="94" t="s">
        <v>924</v>
      </c>
      <c r="D97" s="94" t="s">
        <v>922</v>
      </c>
      <c r="E97" s="94" t="s">
        <v>922</v>
      </c>
      <c r="F97" s="94" t="s">
        <v>867</v>
      </c>
      <c r="G97" s="94">
        <v>1.4</v>
      </c>
      <c r="H97" s="95">
        <v>1350</v>
      </c>
      <c r="I97" s="94" t="s">
        <v>0</v>
      </c>
      <c r="J97" s="94" t="s">
        <v>0</v>
      </c>
      <c r="K97" s="94" t="s">
        <v>1085</v>
      </c>
      <c r="L97" s="94" t="s">
        <v>0</v>
      </c>
      <c r="M97" s="94" t="s">
        <v>0</v>
      </c>
      <c r="N97" s="94">
        <v>0</v>
      </c>
      <c r="O97" s="65" t="s">
        <v>884</v>
      </c>
    </row>
    <row r="98" spans="1:15" ht="13.7" customHeight="1">
      <c r="A98" s="66">
        <v>44494</v>
      </c>
      <c r="B98" s="94"/>
      <c r="C98" s="94"/>
      <c r="D98" s="94"/>
      <c r="E98" s="94"/>
      <c r="F98" s="94"/>
      <c r="G98" s="94"/>
      <c r="H98" s="95"/>
      <c r="I98" s="94"/>
      <c r="J98" s="94"/>
      <c r="K98" s="94"/>
      <c r="L98" s="94"/>
      <c r="M98" s="94"/>
      <c r="N98" s="94"/>
      <c r="O98" s="66">
        <v>44494</v>
      </c>
    </row>
    <row r="99" spans="1:15" ht="12.6" customHeight="1">
      <c r="A99" s="67" t="s">
        <v>920</v>
      </c>
      <c r="B99" s="96">
        <v>26</v>
      </c>
      <c r="C99" s="96" t="s">
        <v>922</v>
      </c>
      <c r="D99" s="96" t="s">
        <v>912</v>
      </c>
      <c r="E99" s="96" t="s">
        <v>906</v>
      </c>
      <c r="F99" s="98" t="s">
        <v>1083</v>
      </c>
      <c r="G99" s="96">
        <v>1.4</v>
      </c>
      <c r="H99" s="97">
        <v>1360</v>
      </c>
      <c r="I99" s="96" t="s">
        <v>0</v>
      </c>
      <c r="J99" s="96" t="s">
        <v>0</v>
      </c>
      <c r="K99" s="96" t="s">
        <v>1086</v>
      </c>
      <c r="L99" s="96" t="s">
        <v>0</v>
      </c>
      <c r="M99" s="96" t="s">
        <v>0</v>
      </c>
      <c r="N99" s="96">
        <v>0</v>
      </c>
      <c r="O99" s="67" t="s">
        <v>884</v>
      </c>
    </row>
    <row r="100" spans="1:15" ht="13.7" customHeight="1">
      <c r="A100" s="68">
        <v>44494</v>
      </c>
      <c r="B100" s="96"/>
      <c r="C100" s="96"/>
      <c r="D100" s="96"/>
      <c r="E100" s="96"/>
      <c r="F100" s="98"/>
      <c r="G100" s="96"/>
      <c r="H100" s="97"/>
      <c r="I100" s="96"/>
      <c r="J100" s="96"/>
      <c r="K100" s="96"/>
      <c r="L100" s="96"/>
      <c r="M100" s="96"/>
      <c r="N100" s="96"/>
      <c r="O100" s="68">
        <v>44494</v>
      </c>
    </row>
    <row r="101" spans="1:15" ht="12.6" customHeight="1">
      <c r="A101" s="65" t="s">
        <v>1087</v>
      </c>
      <c r="B101" s="94">
        <v>22</v>
      </c>
      <c r="C101" s="94" t="s">
        <v>912</v>
      </c>
      <c r="D101" s="94" t="s">
        <v>912</v>
      </c>
      <c r="E101" s="94" t="s">
        <v>1088</v>
      </c>
      <c r="F101" s="101" t="s">
        <v>1083</v>
      </c>
      <c r="G101" s="94">
        <v>1.3</v>
      </c>
      <c r="H101" s="95">
        <v>1370</v>
      </c>
      <c r="I101" s="94" t="s">
        <v>0</v>
      </c>
      <c r="J101" s="94" t="s">
        <v>0</v>
      </c>
      <c r="K101" s="94" t="s">
        <v>1089</v>
      </c>
      <c r="L101" s="94" t="s">
        <v>0</v>
      </c>
      <c r="M101" s="94" t="s">
        <v>0</v>
      </c>
      <c r="N101" s="94">
        <v>0</v>
      </c>
      <c r="O101" s="65" t="s">
        <v>884</v>
      </c>
    </row>
    <row r="102" spans="1:15" ht="13.7" customHeight="1">
      <c r="A102" s="66">
        <v>44494</v>
      </c>
      <c r="B102" s="94"/>
      <c r="C102" s="94"/>
      <c r="D102" s="94"/>
      <c r="E102" s="94"/>
      <c r="F102" s="101"/>
      <c r="G102" s="94"/>
      <c r="H102" s="95"/>
      <c r="I102" s="94"/>
      <c r="J102" s="94"/>
      <c r="K102" s="94"/>
      <c r="L102" s="94"/>
      <c r="M102" s="94"/>
      <c r="N102" s="94"/>
      <c r="O102" s="66">
        <v>44494</v>
      </c>
    </row>
    <row r="103" spans="1:15" ht="12.6" customHeight="1">
      <c r="A103" s="67" t="s">
        <v>969</v>
      </c>
      <c r="B103" s="96">
        <v>122</v>
      </c>
      <c r="C103" s="96" t="s">
        <v>902</v>
      </c>
      <c r="D103" s="96" t="s">
        <v>902</v>
      </c>
      <c r="E103" s="96" t="s">
        <v>897</v>
      </c>
      <c r="F103" s="98" t="s">
        <v>1090</v>
      </c>
      <c r="G103" s="96">
        <v>1</v>
      </c>
      <c r="H103" s="97">
        <v>1380</v>
      </c>
      <c r="I103" s="96" t="s">
        <v>0</v>
      </c>
      <c r="J103" s="96" t="s">
        <v>0</v>
      </c>
      <c r="K103" s="96" t="s">
        <v>1091</v>
      </c>
      <c r="L103" s="96" t="s">
        <v>0</v>
      </c>
      <c r="M103" s="96" t="s">
        <v>0</v>
      </c>
      <c r="N103" s="96">
        <v>0</v>
      </c>
      <c r="O103" s="67" t="s">
        <v>864</v>
      </c>
    </row>
    <row r="104" spans="1:15" ht="13.7" customHeight="1">
      <c r="A104" s="68">
        <v>44494</v>
      </c>
      <c r="B104" s="96"/>
      <c r="C104" s="96"/>
      <c r="D104" s="96"/>
      <c r="E104" s="96"/>
      <c r="F104" s="98"/>
      <c r="G104" s="96"/>
      <c r="H104" s="97"/>
      <c r="I104" s="96"/>
      <c r="J104" s="96"/>
      <c r="K104" s="96"/>
      <c r="L104" s="96"/>
      <c r="M104" s="96"/>
      <c r="N104" s="96"/>
      <c r="O104" s="68">
        <v>44494</v>
      </c>
    </row>
    <row r="105" spans="1:15" ht="12.6" customHeight="1">
      <c r="A105" s="65" t="s">
        <v>1092</v>
      </c>
      <c r="B105" s="94">
        <v>4</v>
      </c>
      <c r="C105" s="94" t="s">
        <v>897</v>
      </c>
      <c r="D105" s="94" t="s">
        <v>897</v>
      </c>
      <c r="E105" s="94" t="s">
        <v>892</v>
      </c>
      <c r="F105" s="101" t="s">
        <v>1090</v>
      </c>
      <c r="G105" s="94">
        <v>0.7</v>
      </c>
      <c r="H105" s="95">
        <v>1390</v>
      </c>
      <c r="I105" s="94" t="s">
        <v>0</v>
      </c>
      <c r="J105" s="94" t="s">
        <v>0</v>
      </c>
      <c r="K105" s="94" t="s">
        <v>1093</v>
      </c>
      <c r="L105" s="94" t="s">
        <v>0</v>
      </c>
      <c r="M105" s="94" t="s">
        <v>0</v>
      </c>
      <c r="N105" s="94">
        <v>0</v>
      </c>
      <c r="O105" s="65" t="s">
        <v>884</v>
      </c>
    </row>
    <row r="106" spans="1:15" ht="13.7" customHeight="1">
      <c r="A106" s="66">
        <v>44494</v>
      </c>
      <c r="B106" s="94"/>
      <c r="C106" s="94"/>
      <c r="D106" s="94"/>
      <c r="E106" s="94"/>
      <c r="F106" s="101"/>
      <c r="G106" s="94"/>
      <c r="H106" s="95"/>
      <c r="I106" s="94"/>
      <c r="J106" s="94"/>
      <c r="K106" s="94"/>
      <c r="L106" s="94"/>
      <c r="M106" s="94"/>
      <c r="N106" s="94"/>
      <c r="O106" s="66">
        <v>44494</v>
      </c>
    </row>
    <row r="107" spans="1:15" ht="12.6" customHeight="1">
      <c r="A107" s="67" t="s">
        <v>1094</v>
      </c>
      <c r="B107" s="96">
        <v>26</v>
      </c>
      <c r="C107" s="96" t="s">
        <v>897</v>
      </c>
      <c r="D107" s="96" t="s">
        <v>897</v>
      </c>
      <c r="E107" s="96" t="s">
        <v>892</v>
      </c>
      <c r="F107" s="98" t="s">
        <v>1090</v>
      </c>
      <c r="G107" s="96">
        <v>0.7</v>
      </c>
      <c r="H107" s="97">
        <v>1400</v>
      </c>
      <c r="I107" s="96" t="s">
        <v>1095</v>
      </c>
      <c r="J107" s="100" t="s">
        <v>1096</v>
      </c>
      <c r="K107" s="96" t="s">
        <v>1097</v>
      </c>
      <c r="L107" s="96" t="s">
        <v>1095</v>
      </c>
      <c r="M107" s="96" t="s">
        <v>1095</v>
      </c>
      <c r="N107" s="96">
        <v>1</v>
      </c>
      <c r="O107" s="67" t="s">
        <v>893</v>
      </c>
    </row>
    <row r="108" spans="1:15" ht="13.7" customHeight="1">
      <c r="A108" s="68">
        <v>44494</v>
      </c>
      <c r="B108" s="96"/>
      <c r="C108" s="96"/>
      <c r="D108" s="96"/>
      <c r="E108" s="96"/>
      <c r="F108" s="98"/>
      <c r="G108" s="96"/>
      <c r="H108" s="97"/>
      <c r="I108" s="96"/>
      <c r="J108" s="100"/>
      <c r="K108" s="96"/>
      <c r="L108" s="96"/>
      <c r="M108" s="96"/>
      <c r="N108" s="96"/>
      <c r="O108" s="68">
        <v>44494</v>
      </c>
    </row>
    <row r="109" spans="1:15" ht="12.6" customHeight="1">
      <c r="A109" s="65" t="s">
        <v>920</v>
      </c>
      <c r="B109" s="94">
        <v>52</v>
      </c>
      <c r="C109" s="94" t="s">
        <v>888</v>
      </c>
      <c r="D109" s="94" t="s">
        <v>888</v>
      </c>
      <c r="E109" s="94" t="s">
        <v>888</v>
      </c>
      <c r="F109" s="94" t="s">
        <v>867</v>
      </c>
      <c r="G109" s="94">
        <v>0.5</v>
      </c>
      <c r="H109" s="95">
        <v>1410</v>
      </c>
      <c r="I109" s="94" t="s">
        <v>1098</v>
      </c>
      <c r="J109" s="99" t="s">
        <v>1099</v>
      </c>
      <c r="K109" s="94" t="s">
        <v>1100</v>
      </c>
      <c r="L109" s="94" t="s">
        <v>1098</v>
      </c>
      <c r="M109" s="94" t="s">
        <v>1098</v>
      </c>
      <c r="N109" s="94">
        <v>1</v>
      </c>
      <c r="O109" s="65" t="s">
        <v>914</v>
      </c>
    </row>
    <row r="110" spans="1:15" ht="13.7" customHeight="1">
      <c r="A110" s="66">
        <v>44494</v>
      </c>
      <c r="B110" s="94"/>
      <c r="C110" s="94"/>
      <c r="D110" s="94"/>
      <c r="E110" s="94"/>
      <c r="F110" s="94"/>
      <c r="G110" s="94"/>
      <c r="H110" s="95"/>
      <c r="I110" s="94"/>
      <c r="J110" s="99"/>
      <c r="K110" s="94"/>
      <c r="L110" s="94"/>
      <c r="M110" s="94"/>
      <c r="N110" s="94"/>
      <c r="O110" s="66">
        <v>44494</v>
      </c>
    </row>
    <row r="111" spans="1:15" ht="12.6" customHeight="1">
      <c r="A111" s="67" t="s">
        <v>907</v>
      </c>
      <c r="B111" s="96">
        <v>8</v>
      </c>
      <c r="C111" s="96" t="s">
        <v>888</v>
      </c>
      <c r="D111" s="96" t="s">
        <v>888</v>
      </c>
      <c r="E111" s="96" t="s">
        <v>882</v>
      </c>
      <c r="F111" s="98" t="s">
        <v>1090</v>
      </c>
      <c r="G111" s="96">
        <v>0.5</v>
      </c>
      <c r="H111" s="97">
        <v>1420</v>
      </c>
      <c r="I111" s="96" t="s">
        <v>0</v>
      </c>
      <c r="J111" s="96" t="s">
        <v>0</v>
      </c>
      <c r="K111" s="96" t="s">
        <v>1101</v>
      </c>
      <c r="L111" s="96" t="s">
        <v>0</v>
      </c>
      <c r="M111" s="96" t="s">
        <v>0</v>
      </c>
      <c r="N111" s="96">
        <v>0</v>
      </c>
      <c r="O111" s="67" t="s">
        <v>864</v>
      </c>
    </row>
    <row r="112" spans="1:15" ht="13.7" customHeight="1">
      <c r="A112" s="68">
        <v>44494</v>
      </c>
      <c r="B112" s="96"/>
      <c r="C112" s="96"/>
      <c r="D112" s="96"/>
      <c r="E112" s="96"/>
      <c r="F112" s="98"/>
      <c r="G112" s="96"/>
      <c r="H112" s="97"/>
      <c r="I112" s="96"/>
      <c r="J112" s="96"/>
      <c r="K112" s="96"/>
      <c r="L112" s="96"/>
      <c r="M112" s="96"/>
      <c r="N112" s="96"/>
      <c r="O112" s="68">
        <v>44494</v>
      </c>
    </row>
    <row r="113" spans="1:15" ht="12.6" customHeight="1">
      <c r="A113" s="65" t="s">
        <v>864</v>
      </c>
      <c r="B113" s="94">
        <v>0</v>
      </c>
      <c r="C113" s="94" t="s">
        <v>0</v>
      </c>
      <c r="D113" s="94" t="s">
        <v>0</v>
      </c>
      <c r="E113" s="94" t="s">
        <v>882</v>
      </c>
      <c r="F113" s="94" t="s">
        <v>0</v>
      </c>
      <c r="G113" s="94" t="s">
        <v>0</v>
      </c>
      <c r="H113" s="95">
        <v>1430</v>
      </c>
      <c r="I113" s="94" t="s">
        <v>0</v>
      </c>
      <c r="J113" s="94" t="s">
        <v>0</v>
      </c>
      <c r="K113" s="94" t="s">
        <v>1102</v>
      </c>
      <c r="L113" s="94" t="s">
        <v>0</v>
      </c>
      <c r="M113" s="94" t="s">
        <v>0</v>
      </c>
      <c r="N113" s="94">
        <v>0</v>
      </c>
      <c r="O113" s="65" t="s">
        <v>864</v>
      </c>
    </row>
    <row r="114" spans="1:15" ht="13.7" customHeight="1">
      <c r="A114" s="66">
        <v>44494</v>
      </c>
      <c r="B114" s="94"/>
      <c r="C114" s="94"/>
      <c r="D114" s="94"/>
      <c r="E114" s="94"/>
      <c r="F114" s="94"/>
      <c r="G114" s="94"/>
      <c r="H114" s="95"/>
      <c r="I114" s="94"/>
      <c r="J114" s="94"/>
      <c r="K114" s="94"/>
      <c r="L114" s="94"/>
      <c r="M114" s="94"/>
      <c r="N114" s="94"/>
      <c r="O114" s="66">
        <v>44494</v>
      </c>
    </row>
    <row r="115" spans="1:15" ht="12.6" customHeight="1">
      <c r="A115" s="67" t="s">
        <v>884</v>
      </c>
      <c r="B115" s="96">
        <v>0</v>
      </c>
      <c r="C115" s="96" t="s">
        <v>0</v>
      </c>
      <c r="D115" s="96" t="s">
        <v>0</v>
      </c>
      <c r="E115" s="96" t="s">
        <v>878</v>
      </c>
      <c r="F115" s="96" t="s">
        <v>0</v>
      </c>
      <c r="G115" s="96" t="s">
        <v>0</v>
      </c>
      <c r="H115" s="97">
        <v>1440</v>
      </c>
      <c r="I115" s="96" t="s">
        <v>0</v>
      </c>
      <c r="J115" s="96" t="s">
        <v>0</v>
      </c>
      <c r="K115" s="96" t="s">
        <v>1103</v>
      </c>
      <c r="L115" s="96" t="s">
        <v>0</v>
      </c>
      <c r="M115" s="96" t="s">
        <v>0</v>
      </c>
      <c r="N115" s="96">
        <v>0</v>
      </c>
      <c r="O115" s="67" t="s">
        <v>884</v>
      </c>
    </row>
    <row r="116" spans="1:15" ht="13.7" customHeight="1">
      <c r="A116" s="68">
        <v>44494</v>
      </c>
      <c r="B116" s="96"/>
      <c r="C116" s="96"/>
      <c r="D116" s="96"/>
      <c r="E116" s="96"/>
      <c r="F116" s="96"/>
      <c r="G116" s="96"/>
      <c r="H116" s="97"/>
      <c r="I116" s="96"/>
      <c r="J116" s="96"/>
      <c r="K116" s="96"/>
      <c r="L116" s="96"/>
      <c r="M116" s="96"/>
      <c r="N116" s="96"/>
      <c r="O116" s="68">
        <v>44494</v>
      </c>
    </row>
    <row r="117" spans="1:15" ht="12.6" customHeight="1">
      <c r="A117" s="65" t="s">
        <v>884</v>
      </c>
      <c r="B117" s="94">
        <v>0</v>
      </c>
      <c r="C117" s="94" t="s">
        <v>0</v>
      </c>
      <c r="D117" s="94" t="s">
        <v>0</v>
      </c>
      <c r="E117" s="94" t="s">
        <v>878</v>
      </c>
      <c r="F117" s="94" t="s">
        <v>0</v>
      </c>
      <c r="G117" s="94" t="s">
        <v>0</v>
      </c>
      <c r="H117" s="95">
        <v>1450</v>
      </c>
      <c r="I117" s="94" t="s">
        <v>0</v>
      </c>
      <c r="J117" s="94" t="s">
        <v>0</v>
      </c>
      <c r="K117" s="94" t="s">
        <v>1104</v>
      </c>
      <c r="L117" s="94" t="s">
        <v>0</v>
      </c>
      <c r="M117" s="94" t="s">
        <v>0</v>
      </c>
      <c r="N117" s="94">
        <v>0</v>
      </c>
      <c r="O117" s="65" t="s">
        <v>861</v>
      </c>
    </row>
    <row r="118" spans="1:15" ht="13.7" customHeight="1">
      <c r="A118" s="66">
        <v>44494</v>
      </c>
      <c r="B118" s="94"/>
      <c r="C118" s="94"/>
      <c r="D118" s="94"/>
      <c r="E118" s="94"/>
      <c r="F118" s="94"/>
      <c r="G118" s="94"/>
      <c r="H118" s="95"/>
      <c r="I118" s="94"/>
      <c r="J118" s="94"/>
      <c r="K118" s="94"/>
      <c r="L118" s="94"/>
      <c r="M118" s="94"/>
      <c r="N118" s="94"/>
      <c r="O118" s="66">
        <v>44493</v>
      </c>
    </row>
    <row r="119" spans="1:15" ht="12.6" customHeight="1">
      <c r="A119" s="67" t="s">
        <v>884</v>
      </c>
      <c r="B119" s="96">
        <v>0</v>
      </c>
      <c r="C119" s="96" t="s">
        <v>0</v>
      </c>
      <c r="D119" s="96" t="s">
        <v>0</v>
      </c>
      <c r="E119" s="96" t="s">
        <v>878</v>
      </c>
      <c r="F119" s="96" t="s">
        <v>0</v>
      </c>
      <c r="G119" s="96" t="s">
        <v>0</v>
      </c>
      <c r="H119" s="97">
        <v>1460</v>
      </c>
      <c r="I119" s="96" t="s">
        <v>0</v>
      </c>
      <c r="J119" s="96" t="s">
        <v>0</v>
      </c>
      <c r="K119" s="96" t="s">
        <v>1105</v>
      </c>
      <c r="L119" s="96" t="s">
        <v>0</v>
      </c>
      <c r="M119" s="96" t="s">
        <v>0</v>
      </c>
      <c r="N119" s="96">
        <v>0</v>
      </c>
      <c r="O119" s="67" t="s">
        <v>861</v>
      </c>
    </row>
    <row r="120" spans="1:15" ht="13.7" customHeight="1">
      <c r="A120" s="68">
        <v>44494</v>
      </c>
      <c r="B120" s="96"/>
      <c r="C120" s="96"/>
      <c r="D120" s="96"/>
      <c r="E120" s="96"/>
      <c r="F120" s="96"/>
      <c r="G120" s="96"/>
      <c r="H120" s="97"/>
      <c r="I120" s="96"/>
      <c r="J120" s="96"/>
      <c r="K120" s="96"/>
      <c r="L120" s="96"/>
      <c r="M120" s="96"/>
      <c r="N120" s="96"/>
      <c r="O120" s="68">
        <v>44493</v>
      </c>
    </row>
    <row r="121" spans="1:15" ht="12.6" customHeight="1">
      <c r="A121" s="65" t="s">
        <v>884</v>
      </c>
      <c r="B121" s="94">
        <v>0</v>
      </c>
      <c r="C121" s="94" t="s">
        <v>0</v>
      </c>
      <c r="D121" s="94" t="s">
        <v>0</v>
      </c>
      <c r="E121" s="94" t="s">
        <v>878</v>
      </c>
      <c r="F121" s="94" t="s">
        <v>0</v>
      </c>
      <c r="G121" s="94" t="s">
        <v>0</v>
      </c>
      <c r="H121" s="95">
        <v>1470</v>
      </c>
      <c r="I121" s="94" t="s">
        <v>0</v>
      </c>
      <c r="J121" s="94" t="s">
        <v>0</v>
      </c>
      <c r="K121" s="94" t="s">
        <v>1106</v>
      </c>
      <c r="L121" s="94" t="s">
        <v>0</v>
      </c>
      <c r="M121" s="94" t="s">
        <v>0</v>
      </c>
      <c r="N121" s="94">
        <v>0</v>
      </c>
      <c r="O121" s="65" t="s">
        <v>861</v>
      </c>
    </row>
    <row r="122" spans="1:15" ht="13.7" customHeight="1">
      <c r="A122" s="66">
        <v>44494</v>
      </c>
      <c r="B122" s="94"/>
      <c r="C122" s="94"/>
      <c r="D122" s="94"/>
      <c r="E122" s="94"/>
      <c r="F122" s="94"/>
      <c r="G122" s="94"/>
      <c r="H122" s="95"/>
      <c r="I122" s="94"/>
      <c r="J122" s="94"/>
      <c r="K122" s="94"/>
      <c r="L122" s="94"/>
      <c r="M122" s="94"/>
      <c r="N122" s="94"/>
      <c r="O122" s="66">
        <v>44493</v>
      </c>
    </row>
    <row r="123" spans="1:15" ht="12.6" customHeight="1">
      <c r="A123" s="67" t="s">
        <v>1107</v>
      </c>
      <c r="B123" s="96">
        <v>4</v>
      </c>
      <c r="C123" s="96" t="s">
        <v>878</v>
      </c>
      <c r="D123" s="96" t="s">
        <v>878</v>
      </c>
      <c r="E123" s="96" t="s">
        <v>878</v>
      </c>
      <c r="F123" s="96" t="s">
        <v>867</v>
      </c>
      <c r="G123" s="96">
        <v>0.3</v>
      </c>
      <c r="H123" s="97">
        <v>1480</v>
      </c>
      <c r="I123" s="96" t="s">
        <v>0</v>
      </c>
      <c r="J123" s="96" t="s">
        <v>0</v>
      </c>
      <c r="K123" s="96" t="s">
        <v>1108</v>
      </c>
      <c r="L123" s="96" t="s">
        <v>0</v>
      </c>
      <c r="M123" s="96" t="s">
        <v>0</v>
      </c>
      <c r="N123" s="96">
        <v>0</v>
      </c>
      <c r="O123" s="67" t="s">
        <v>861</v>
      </c>
    </row>
    <row r="124" spans="1:15" ht="13.7" customHeight="1">
      <c r="A124" s="68">
        <v>44494</v>
      </c>
      <c r="B124" s="96"/>
      <c r="C124" s="96"/>
      <c r="D124" s="96"/>
      <c r="E124" s="96"/>
      <c r="F124" s="96"/>
      <c r="G124" s="96"/>
      <c r="H124" s="97"/>
      <c r="I124" s="96"/>
      <c r="J124" s="96"/>
      <c r="K124" s="96"/>
      <c r="L124" s="96"/>
      <c r="M124" s="96"/>
      <c r="N124" s="96"/>
      <c r="O124" s="68">
        <v>44493</v>
      </c>
    </row>
    <row r="125" spans="1:15" ht="12.6" customHeight="1">
      <c r="A125" s="65" t="s">
        <v>864</v>
      </c>
      <c r="B125" s="94">
        <v>0</v>
      </c>
      <c r="C125" s="94" t="s">
        <v>0</v>
      </c>
      <c r="D125" s="94" t="s">
        <v>0</v>
      </c>
      <c r="E125" s="94" t="s">
        <v>872</v>
      </c>
      <c r="F125" s="94" t="s">
        <v>0</v>
      </c>
      <c r="G125" s="94" t="s">
        <v>0</v>
      </c>
      <c r="H125" s="95">
        <v>1490</v>
      </c>
      <c r="I125" s="94" t="s">
        <v>0</v>
      </c>
      <c r="J125" s="94" t="s">
        <v>0</v>
      </c>
      <c r="K125" s="94" t="s">
        <v>1109</v>
      </c>
      <c r="L125" s="94" t="s">
        <v>0</v>
      </c>
      <c r="M125" s="94" t="s">
        <v>0</v>
      </c>
      <c r="N125" s="94">
        <v>0</v>
      </c>
      <c r="O125" s="65" t="s">
        <v>884</v>
      </c>
    </row>
    <row r="126" spans="1:15" ht="13.7" customHeight="1">
      <c r="A126" s="66">
        <v>44494</v>
      </c>
      <c r="B126" s="94"/>
      <c r="C126" s="94"/>
      <c r="D126" s="94"/>
      <c r="E126" s="94"/>
      <c r="F126" s="94"/>
      <c r="G126" s="94"/>
      <c r="H126" s="95"/>
      <c r="I126" s="94"/>
      <c r="J126" s="94"/>
      <c r="K126" s="94"/>
      <c r="L126" s="94"/>
      <c r="M126" s="94"/>
      <c r="N126" s="94"/>
      <c r="O126" s="66">
        <v>44494</v>
      </c>
    </row>
    <row r="127" spans="1:15" ht="12.6" customHeight="1">
      <c r="A127" s="67" t="s">
        <v>884</v>
      </c>
      <c r="B127" s="96">
        <v>0</v>
      </c>
      <c r="C127" s="96" t="s">
        <v>0</v>
      </c>
      <c r="D127" s="96" t="s">
        <v>0</v>
      </c>
      <c r="E127" s="96" t="s">
        <v>872</v>
      </c>
      <c r="F127" s="96" t="s">
        <v>0</v>
      </c>
      <c r="G127" s="96" t="s">
        <v>0</v>
      </c>
      <c r="H127" s="97">
        <v>1500</v>
      </c>
      <c r="I127" s="96" t="s">
        <v>0</v>
      </c>
      <c r="J127" s="96" t="s">
        <v>0</v>
      </c>
      <c r="K127" s="96" t="s">
        <v>1110</v>
      </c>
      <c r="L127" s="96" t="s">
        <v>0</v>
      </c>
      <c r="M127" s="96" t="s">
        <v>0</v>
      </c>
      <c r="N127" s="96">
        <v>0</v>
      </c>
      <c r="O127" s="67" t="s">
        <v>861</v>
      </c>
    </row>
    <row r="128" spans="1:15" ht="13.7" customHeight="1">
      <c r="A128" s="68">
        <v>44494</v>
      </c>
      <c r="B128" s="96"/>
      <c r="C128" s="96"/>
      <c r="D128" s="96"/>
      <c r="E128" s="96"/>
      <c r="F128" s="96"/>
      <c r="G128" s="96"/>
      <c r="H128" s="97"/>
      <c r="I128" s="96"/>
      <c r="J128" s="96"/>
      <c r="K128" s="96"/>
      <c r="L128" s="96"/>
      <c r="M128" s="96"/>
      <c r="N128" s="96"/>
      <c r="O128" s="68">
        <v>44493</v>
      </c>
    </row>
    <row r="129" spans="1:15" ht="12.6" customHeight="1">
      <c r="A129" s="65" t="s">
        <v>864</v>
      </c>
      <c r="B129" s="94">
        <v>0</v>
      </c>
      <c r="C129" s="94" t="s">
        <v>0</v>
      </c>
      <c r="D129" s="94" t="s">
        <v>0</v>
      </c>
      <c r="E129" s="94" t="s">
        <v>872</v>
      </c>
      <c r="F129" s="94" t="s">
        <v>0</v>
      </c>
      <c r="G129" s="94" t="s">
        <v>0</v>
      </c>
      <c r="H129" s="95">
        <v>1510</v>
      </c>
      <c r="I129" s="94" t="s">
        <v>0</v>
      </c>
      <c r="J129" s="94" t="s">
        <v>0</v>
      </c>
      <c r="K129" s="94" t="s">
        <v>1111</v>
      </c>
      <c r="L129" s="94" t="s">
        <v>0</v>
      </c>
      <c r="M129" s="94" t="s">
        <v>0</v>
      </c>
      <c r="N129" s="94">
        <v>0</v>
      </c>
      <c r="O129" s="65" t="s">
        <v>861</v>
      </c>
    </row>
    <row r="130" spans="1:15" ht="13.7" customHeight="1">
      <c r="A130" s="66">
        <v>44494</v>
      </c>
      <c r="B130" s="94"/>
      <c r="C130" s="94"/>
      <c r="D130" s="94"/>
      <c r="E130" s="94"/>
      <c r="F130" s="94"/>
      <c r="G130" s="94"/>
      <c r="H130" s="95"/>
      <c r="I130" s="94"/>
      <c r="J130" s="94"/>
      <c r="K130" s="94"/>
      <c r="L130" s="94"/>
      <c r="M130" s="94"/>
      <c r="N130" s="94"/>
      <c r="O130" s="66">
        <v>44493</v>
      </c>
    </row>
    <row r="131" spans="1:15" ht="12.6" customHeight="1">
      <c r="A131" s="67" t="s">
        <v>864</v>
      </c>
      <c r="B131" s="96">
        <v>0</v>
      </c>
      <c r="C131" s="96" t="s">
        <v>0</v>
      </c>
      <c r="D131" s="96" t="s">
        <v>0</v>
      </c>
      <c r="E131" s="96" t="s">
        <v>872</v>
      </c>
      <c r="F131" s="96" t="s">
        <v>0</v>
      </c>
      <c r="G131" s="96" t="s">
        <v>0</v>
      </c>
      <c r="H131" s="97">
        <v>1520</v>
      </c>
      <c r="I131" s="96" t="s">
        <v>0</v>
      </c>
      <c r="J131" s="96" t="s">
        <v>0</v>
      </c>
      <c r="K131" s="96" t="s">
        <v>1112</v>
      </c>
      <c r="L131" s="96" t="s">
        <v>0</v>
      </c>
      <c r="M131" s="96" t="s">
        <v>0</v>
      </c>
      <c r="N131" s="96">
        <v>0</v>
      </c>
      <c r="O131" s="67" t="s">
        <v>864</v>
      </c>
    </row>
    <row r="132" spans="1:15" ht="13.7" customHeight="1">
      <c r="A132" s="68">
        <v>44494</v>
      </c>
      <c r="B132" s="96"/>
      <c r="C132" s="96"/>
      <c r="D132" s="96"/>
      <c r="E132" s="96"/>
      <c r="F132" s="96"/>
      <c r="G132" s="96"/>
      <c r="H132" s="97"/>
      <c r="I132" s="96"/>
      <c r="J132" s="96"/>
      <c r="K132" s="96"/>
      <c r="L132" s="96"/>
      <c r="M132" s="96"/>
      <c r="N132" s="96"/>
      <c r="O132" s="68">
        <v>44494</v>
      </c>
    </row>
    <row r="133" spans="1:15" ht="12.6" customHeight="1">
      <c r="A133" s="65" t="s">
        <v>864</v>
      </c>
      <c r="B133" s="94">
        <v>0</v>
      </c>
      <c r="C133" s="94" t="s">
        <v>0</v>
      </c>
      <c r="D133" s="94" t="s">
        <v>0</v>
      </c>
      <c r="E133" s="94" t="s">
        <v>872</v>
      </c>
      <c r="F133" s="94" t="s">
        <v>0</v>
      </c>
      <c r="G133" s="94" t="s">
        <v>0</v>
      </c>
      <c r="H133" s="95">
        <v>1530</v>
      </c>
      <c r="I133" s="94" t="s">
        <v>0</v>
      </c>
      <c r="J133" s="94" t="s">
        <v>0</v>
      </c>
      <c r="K133" s="94" t="s">
        <v>1113</v>
      </c>
      <c r="L133" s="94" t="s">
        <v>0</v>
      </c>
      <c r="M133" s="94" t="s">
        <v>0</v>
      </c>
      <c r="N133" s="94">
        <v>0</v>
      </c>
      <c r="O133" s="65" t="s">
        <v>864</v>
      </c>
    </row>
    <row r="134" spans="1:15" ht="13.7" customHeight="1">
      <c r="A134" s="66">
        <v>44494</v>
      </c>
      <c r="B134" s="94"/>
      <c r="C134" s="94"/>
      <c r="D134" s="94"/>
      <c r="E134" s="94"/>
      <c r="F134" s="94"/>
      <c r="G134" s="94"/>
      <c r="H134" s="95"/>
      <c r="I134" s="94"/>
      <c r="J134" s="94"/>
      <c r="K134" s="94"/>
      <c r="L134" s="94"/>
      <c r="M134" s="94"/>
      <c r="N134" s="94"/>
      <c r="O134" s="66">
        <v>44494</v>
      </c>
    </row>
    <row r="135" spans="1:15" ht="12.6" customHeight="1">
      <c r="A135" s="67" t="s">
        <v>864</v>
      </c>
      <c r="B135" s="96">
        <v>0</v>
      </c>
      <c r="C135" s="96" t="s">
        <v>0</v>
      </c>
      <c r="D135" s="96" t="s">
        <v>0</v>
      </c>
      <c r="E135" s="96" t="s">
        <v>872</v>
      </c>
      <c r="F135" s="96" t="s">
        <v>0</v>
      </c>
      <c r="G135" s="96" t="s">
        <v>0</v>
      </c>
      <c r="H135" s="97">
        <v>1540</v>
      </c>
      <c r="I135" s="96" t="s">
        <v>0</v>
      </c>
      <c r="J135" s="96" t="s">
        <v>0</v>
      </c>
      <c r="K135" s="96" t="s">
        <v>1114</v>
      </c>
      <c r="L135" s="96" t="s">
        <v>0</v>
      </c>
      <c r="M135" s="96" t="s">
        <v>0</v>
      </c>
      <c r="N135" s="96">
        <v>0</v>
      </c>
      <c r="O135" s="67" t="s">
        <v>861</v>
      </c>
    </row>
    <row r="136" spans="1:15" ht="13.7" customHeight="1">
      <c r="A136" s="68">
        <v>44494</v>
      </c>
      <c r="B136" s="96"/>
      <c r="C136" s="96"/>
      <c r="D136" s="96"/>
      <c r="E136" s="96"/>
      <c r="F136" s="96"/>
      <c r="G136" s="96"/>
      <c r="H136" s="97"/>
      <c r="I136" s="96"/>
      <c r="J136" s="96"/>
      <c r="K136" s="96"/>
      <c r="L136" s="96"/>
      <c r="M136" s="96"/>
      <c r="N136" s="96"/>
      <c r="O136" s="68">
        <v>44493</v>
      </c>
    </row>
    <row r="137" spans="1:15" ht="12.6" customHeight="1">
      <c r="A137" s="65" t="s">
        <v>864</v>
      </c>
      <c r="B137" s="94">
        <v>0</v>
      </c>
      <c r="C137" s="94" t="s">
        <v>0</v>
      </c>
      <c r="D137" s="94" t="s">
        <v>0</v>
      </c>
      <c r="E137" s="94" t="s">
        <v>872</v>
      </c>
      <c r="F137" s="94" t="s">
        <v>0</v>
      </c>
      <c r="G137" s="94" t="s">
        <v>0</v>
      </c>
      <c r="H137" s="95">
        <v>1550</v>
      </c>
      <c r="I137" s="94" t="s">
        <v>0</v>
      </c>
      <c r="J137" s="94" t="s">
        <v>0</v>
      </c>
      <c r="K137" s="94" t="s">
        <v>1115</v>
      </c>
      <c r="L137" s="94" t="s">
        <v>0</v>
      </c>
      <c r="M137" s="94" t="s">
        <v>0</v>
      </c>
      <c r="N137" s="94">
        <v>0</v>
      </c>
      <c r="O137" s="65" t="s">
        <v>861</v>
      </c>
    </row>
    <row r="138" spans="1:15" ht="13.7" customHeight="1">
      <c r="A138" s="66">
        <v>44494</v>
      </c>
      <c r="B138" s="94"/>
      <c r="C138" s="94"/>
      <c r="D138" s="94"/>
      <c r="E138" s="94"/>
      <c r="F138" s="94"/>
      <c r="G138" s="94"/>
      <c r="H138" s="95"/>
      <c r="I138" s="94"/>
      <c r="J138" s="94"/>
      <c r="K138" s="94"/>
      <c r="L138" s="94"/>
      <c r="M138" s="94"/>
      <c r="N138" s="94"/>
      <c r="O138" s="66">
        <v>44493</v>
      </c>
    </row>
    <row r="139" spans="1:15" ht="12.6" customHeight="1">
      <c r="A139" s="67" t="s">
        <v>884</v>
      </c>
      <c r="B139" s="96">
        <v>0</v>
      </c>
      <c r="C139" s="96" t="s">
        <v>0</v>
      </c>
      <c r="D139" s="96" t="s">
        <v>0</v>
      </c>
      <c r="E139" s="96" t="s">
        <v>872</v>
      </c>
      <c r="F139" s="96" t="s">
        <v>0</v>
      </c>
      <c r="G139" s="96" t="s">
        <v>0</v>
      </c>
      <c r="H139" s="97">
        <v>1560</v>
      </c>
      <c r="I139" s="96" t="s">
        <v>0</v>
      </c>
      <c r="J139" s="96" t="s">
        <v>0</v>
      </c>
      <c r="K139" s="96" t="s">
        <v>1116</v>
      </c>
      <c r="L139" s="96" t="s">
        <v>0</v>
      </c>
      <c r="M139" s="96" t="s">
        <v>0</v>
      </c>
      <c r="N139" s="96">
        <v>0</v>
      </c>
      <c r="O139" s="67" t="s">
        <v>861</v>
      </c>
    </row>
    <row r="140" spans="1:15" ht="13.7" customHeight="1">
      <c r="A140" s="68">
        <v>44494</v>
      </c>
      <c r="B140" s="96"/>
      <c r="C140" s="96"/>
      <c r="D140" s="96"/>
      <c r="E140" s="96"/>
      <c r="F140" s="96"/>
      <c r="G140" s="96"/>
      <c r="H140" s="97"/>
      <c r="I140" s="96"/>
      <c r="J140" s="96"/>
      <c r="K140" s="96"/>
      <c r="L140" s="96"/>
      <c r="M140" s="96"/>
      <c r="N140" s="96"/>
      <c r="O140" s="68">
        <v>44493</v>
      </c>
    </row>
    <row r="141" spans="1:15" ht="12.6" customHeight="1">
      <c r="A141" s="65" t="s">
        <v>884</v>
      </c>
      <c r="B141" s="94">
        <v>0</v>
      </c>
      <c r="C141" s="94" t="s">
        <v>0</v>
      </c>
      <c r="D141" s="94" t="s">
        <v>0</v>
      </c>
      <c r="E141" s="94" t="s">
        <v>872</v>
      </c>
      <c r="F141" s="94" t="s">
        <v>0</v>
      </c>
      <c r="G141" s="94" t="s">
        <v>0</v>
      </c>
      <c r="H141" s="95">
        <v>1570</v>
      </c>
      <c r="I141" s="94" t="s">
        <v>0</v>
      </c>
      <c r="J141" s="94" t="s">
        <v>0</v>
      </c>
      <c r="K141" s="94" t="s">
        <v>1117</v>
      </c>
      <c r="L141" s="94" t="s">
        <v>0</v>
      </c>
      <c r="M141" s="94" t="s">
        <v>0</v>
      </c>
      <c r="N141" s="94">
        <v>0</v>
      </c>
      <c r="O141" s="65" t="s">
        <v>861</v>
      </c>
    </row>
    <row r="142" spans="1:15" ht="13.7" customHeight="1">
      <c r="A142" s="66">
        <v>44494</v>
      </c>
      <c r="B142" s="94"/>
      <c r="C142" s="94"/>
      <c r="D142" s="94"/>
      <c r="E142" s="94"/>
      <c r="F142" s="94"/>
      <c r="G142" s="94"/>
      <c r="H142" s="95"/>
      <c r="I142" s="94"/>
      <c r="J142" s="94"/>
      <c r="K142" s="94"/>
      <c r="L142" s="94"/>
      <c r="M142" s="94"/>
      <c r="N142" s="94"/>
      <c r="O142" s="66">
        <v>44493</v>
      </c>
    </row>
    <row r="143" spans="1:15" ht="12.6" customHeight="1">
      <c r="A143" s="67" t="s">
        <v>861</v>
      </c>
      <c r="B143" s="96">
        <v>0</v>
      </c>
      <c r="C143" s="96" t="s">
        <v>0</v>
      </c>
      <c r="D143" s="96" t="s">
        <v>0</v>
      </c>
      <c r="E143" s="96" t="s">
        <v>872</v>
      </c>
      <c r="F143" s="96" t="s">
        <v>0</v>
      </c>
      <c r="G143" s="96" t="s">
        <v>0</v>
      </c>
      <c r="H143" s="97">
        <v>1580</v>
      </c>
      <c r="I143" s="96" t="s">
        <v>0</v>
      </c>
      <c r="J143" s="96" t="s">
        <v>0</v>
      </c>
      <c r="K143" s="96" t="s">
        <v>1118</v>
      </c>
      <c r="L143" s="96" t="s">
        <v>0</v>
      </c>
      <c r="M143" s="96" t="s">
        <v>0</v>
      </c>
      <c r="N143" s="96">
        <v>0</v>
      </c>
      <c r="O143" s="67" t="s">
        <v>861</v>
      </c>
    </row>
    <row r="144" spans="1:15" ht="13.7" customHeight="1">
      <c r="A144" s="68">
        <v>44493</v>
      </c>
      <c r="B144" s="96"/>
      <c r="C144" s="96"/>
      <c r="D144" s="96"/>
      <c r="E144" s="96"/>
      <c r="F144" s="96"/>
      <c r="G144" s="96"/>
      <c r="H144" s="97"/>
      <c r="I144" s="96"/>
      <c r="J144" s="96"/>
      <c r="K144" s="96"/>
      <c r="L144" s="96"/>
      <c r="M144" s="96"/>
      <c r="N144" s="96"/>
      <c r="O144" s="68">
        <v>44493</v>
      </c>
    </row>
    <row r="145" spans="1:15" ht="12.6" customHeight="1">
      <c r="A145" s="65" t="s">
        <v>861</v>
      </c>
      <c r="B145" s="94">
        <v>0</v>
      </c>
      <c r="C145" s="94" t="s">
        <v>0</v>
      </c>
      <c r="D145" s="94" t="s">
        <v>0</v>
      </c>
      <c r="E145" s="94" t="s">
        <v>872</v>
      </c>
      <c r="F145" s="94" t="s">
        <v>0</v>
      </c>
      <c r="G145" s="94" t="s">
        <v>0</v>
      </c>
      <c r="H145" s="95">
        <v>1590</v>
      </c>
      <c r="I145" s="94" t="s">
        <v>0</v>
      </c>
      <c r="J145" s="94" t="s">
        <v>0</v>
      </c>
      <c r="K145" s="94" t="s">
        <v>1119</v>
      </c>
      <c r="L145" s="94" t="s">
        <v>0</v>
      </c>
      <c r="M145" s="94" t="s">
        <v>0</v>
      </c>
      <c r="N145" s="94">
        <v>0</v>
      </c>
      <c r="O145" s="65" t="s">
        <v>861</v>
      </c>
    </row>
    <row r="146" spans="1:15" ht="13.7" customHeight="1">
      <c r="A146" s="66">
        <v>44493</v>
      </c>
      <c r="B146" s="94"/>
      <c r="C146" s="94"/>
      <c r="D146" s="94"/>
      <c r="E146" s="94"/>
      <c r="F146" s="94"/>
      <c r="G146" s="94"/>
      <c r="H146" s="95"/>
      <c r="I146" s="94"/>
      <c r="J146" s="94"/>
      <c r="K146" s="94"/>
      <c r="L146" s="94"/>
      <c r="M146" s="94"/>
      <c r="N146" s="94"/>
      <c r="O146" s="66">
        <v>44493</v>
      </c>
    </row>
    <row r="147" spans="1:15" ht="12.6" customHeight="1">
      <c r="A147" s="67" t="s">
        <v>884</v>
      </c>
      <c r="B147" s="96">
        <v>0</v>
      </c>
      <c r="C147" s="96" t="s">
        <v>0</v>
      </c>
      <c r="D147" s="96" t="s">
        <v>0</v>
      </c>
      <c r="E147" s="96" t="s">
        <v>872</v>
      </c>
      <c r="F147" s="96" t="s">
        <v>0</v>
      </c>
      <c r="G147" s="96" t="s">
        <v>0</v>
      </c>
      <c r="H147" s="97">
        <v>1600</v>
      </c>
      <c r="I147" s="96" t="s">
        <v>0</v>
      </c>
      <c r="J147" s="96" t="s">
        <v>0</v>
      </c>
      <c r="K147" s="96" t="s">
        <v>1120</v>
      </c>
      <c r="L147" s="96" t="s">
        <v>0</v>
      </c>
      <c r="M147" s="96" t="s">
        <v>0</v>
      </c>
      <c r="N147" s="96">
        <v>0</v>
      </c>
      <c r="O147" s="67" t="s">
        <v>884</v>
      </c>
    </row>
    <row r="148" spans="1:15" ht="13.7" customHeight="1">
      <c r="A148" s="68">
        <v>44494</v>
      </c>
      <c r="B148" s="96"/>
      <c r="C148" s="96"/>
      <c r="D148" s="96"/>
      <c r="E148" s="96"/>
      <c r="F148" s="96"/>
      <c r="G148" s="96"/>
      <c r="H148" s="97"/>
      <c r="I148" s="96"/>
      <c r="J148" s="96"/>
      <c r="K148" s="96"/>
      <c r="L148" s="96"/>
      <c r="M148" s="96"/>
      <c r="N148" s="96"/>
      <c r="O148" s="68">
        <v>44494</v>
      </c>
    </row>
    <row r="149" spans="1:15" ht="12.6" customHeight="1">
      <c r="A149" s="65" t="s">
        <v>884</v>
      </c>
      <c r="B149" s="94">
        <v>0</v>
      </c>
      <c r="C149" s="94" t="s">
        <v>0</v>
      </c>
      <c r="D149" s="94" t="s">
        <v>0</v>
      </c>
      <c r="E149" s="94" t="s">
        <v>872</v>
      </c>
      <c r="F149" s="94" t="s">
        <v>0</v>
      </c>
      <c r="G149" s="94" t="s">
        <v>0</v>
      </c>
      <c r="H149" s="95">
        <v>1610</v>
      </c>
      <c r="I149" s="94" t="s">
        <v>0</v>
      </c>
      <c r="J149" s="94" t="s">
        <v>0</v>
      </c>
      <c r="K149" s="94" t="s">
        <v>1121</v>
      </c>
      <c r="L149" s="94" t="s">
        <v>0</v>
      </c>
      <c r="M149" s="94" t="s">
        <v>0</v>
      </c>
      <c r="N149" s="94">
        <v>0</v>
      </c>
      <c r="O149" s="65" t="s">
        <v>861</v>
      </c>
    </row>
    <row r="150" spans="1:15" ht="13.7" customHeight="1">
      <c r="A150" s="66">
        <v>44494</v>
      </c>
      <c r="B150" s="94"/>
      <c r="C150" s="94"/>
      <c r="D150" s="94"/>
      <c r="E150" s="94"/>
      <c r="F150" s="94"/>
      <c r="G150" s="94"/>
      <c r="H150" s="95"/>
      <c r="I150" s="94"/>
      <c r="J150" s="94"/>
      <c r="K150" s="94"/>
      <c r="L150" s="94"/>
      <c r="M150" s="94"/>
      <c r="N150" s="94"/>
      <c r="O150" s="66">
        <v>44493</v>
      </c>
    </row>
    <row r="151" spans="1:15" ht="19.7" customHeight="1">
      <c r="A151" s="67" t="s">
        <v>864</v>
      </c>
      <c r="B151" s="96">
        <v>0</v>
      </c>
      <c r="C151" s="96" t="s">
        <v>0</v>
      </c>
      <c r="D151" s="96" t="s">
        <v>0</v>
      </c>
      <c r="E151" s="96" t="s">
        <v>872</v>
      </c>
      <c r="F151" s="96" t="s">
        <v>0</v>
      </c>
      <c r="G151" s="96" t="s">
        <v>0</v>
      </c>
      <c r="H151" s="97">
        <v>1620</v>
      </c>
      <c r="I151" s="96" t="s">
        <v>0</v>
      </c>
      <c r="J151" s="96" t="s">
        <v>0</v>
      </c>
      <c r="K151" s="96" t="s">
        <v>1122</v>
      </c>
      <c r="L151" s="96" t="s">
        <v>0</v>
      </c>
      <c r="M151" s="96" t="s">
        <v>0</v>
      </c>
      <c r="N151" s="96">
        <v>0</v>
      </c>
      <c r="O151" s="67" t="s">
        <v>861</v>
      </c>
    </row>
    <row r="152" spans="1:15" ht="13.7" customHeight="1">
      <c r="A152" s="68">
        <v>44494</v>
      </c>
      <c r="B152" s="96"/>
      <c r="C152" s="96"/>
      <c r="D152" s="96"/>
      <c r="E152" s="96"/>
      <c r="F152" s="96"/>
      <c r="G152" s="96"/>
      <c r="H152" s="97"/>
      <c r="I152" s="96"/>
      <c r="J152" s="96"/>
      <c r="K152" s="96"/>
      <c r="L152" s="96"/>
      <c r="M152" s="96"/>
      <c r="N152" s="96"/>
      <c r="O152" s="68">
        <v>44493</v>
      </c>
    </row>
    <row r="153" spans="1:15" ht="19.7" customHeight="1">
      <c r="A153" s="65" t="s">
        <v>864</v>
      </c>
      <c r="B153" s="94">
        <v>0</v>
      </c>
      <c r="C153" s="94" t="s">
        <v>0</v>
      </c>
      <c r="D153" s="94" t="s">
        <v>0</v>
      </c>
      <c r="E153" s="94" t="s">
        <v>863</v>
      </c>
      <c r="F153" s="94" t="s">
        <v>0</v>
      </c>
      <c r="G153" s="94" t="s">
        <v>0</v>
      </c>
      <c r="H153" s="95">
        <v>1630</v>
      </c>
      <c r="I153" s="94" t="s">
        <v>0</v>
      </c>
      <c r="J153" s="94" t="s">
        <v>0</v>
      </c>
      <c r="K153" s="94" t="s">
        <v>1123</v>
      </c>
      <c r="L153" s="94" t="s">
        <v>0</v>
      </c>
      <c r="M153" s="94" t="s">
        <v>0</v>
      </c>
      <c r="N153" s="94">
        <v>0</v>
      </c>
      <c r="O153" s="65" t="s">
        <v>861</v>
      </c>
    </row>
    <row r="154" spans="1:15" ht="13.7" customHeight="1">
      <c r="A154" s="66">
        <v>44494</v>
      </c>
      <c r="B154" s="94"/>
      <c r="C154" s="94"/>
      <c r="D154" s="94"/>
      <c r="E154" s="94"/>
      <c r="F154" s="94"/>
      <c r="G154" s="94"/>
      <c r="H154" s="95"/>
      <c r="I154" s="94"/>
      <c r="J154" s="94"/>
      <c r="K154" s="94"/>
      <c r="L154" s="94"/>
      <c r="M154" s="94"/>
      <c r="N154" s="94"/>
      <c r="O154" s="66">
        <v>44493</v>
      </c>
    </row>
    <row r="155" spans="1:15" ht="19.7" customHeight="1">
      <c r="A155" s="67" t="s">
        <v>1124</v>
      </c>
      <c r="B155" s="96">
        <v>8</v>
      </c>
      <c r="C155" s="96" t="s">
        <v>863</v>
      </c>
      <c r="D155" s="96" t="s">
        <v>863</v>
      </c>
      <c r="E155" s="96" t="s">
        <v>863</v>
      </c>
      <c r="F155" s="96" t="s">
        <v>867</v>
      </c>
      <c r="G155" s="96">
        <v>0.1</v>
      </c>
      <c r="H155" s="97">
        <v>1640</v>
      </c>
      <c r="I155" s="96" t="s">
        <v>0</v>
      </c>
      <c r="J155" s="96" t="s">
        <v>0</v>
      </c>
      <c r="K155" s="96" t="s">
        <v>1125</v>
      </c>
      <c r="L155" s="96" t="s">
        <v>0</v>
      </c>
      <c r="M155" s="96" t="s">
        <v>0</v>
      </c>
      <c r="N155" s="96">
        <v>0</v>
      </c>
      <c r="O155" s="67" t="s">
        <v>861</v>
      </c>
    </row>
    <row r="156" spans="1:15" ht="13.7" customHeight="1">
      <c r="A156" s="68">
        <v>44494</v>
      </c>
      <c r="B156" s="96"/>
      <c r="C156" s="96"/>
      <c r="D156" s="96"/>
      <c r="E156" s="96"/>
      <c r="F156" s="96"/>
      <c r="G156" s="96"/>
      <c r="H156" s="97"/>
      <c r="I156" s="96"/>
      <c r="J156" s="96"/>
      <c r="K156" s="96"/>
      <c r="L156" s="96"/>
      <c r="M156" s="96"/>
      <c r="N156" s="96"/>
      <c r="O156" s="68">
        <v>44493</v>
      </c>
    </row>
    <row r="157" spans="1:15" ht="12.6" customHeight="1">
      <c r="A157" s="65" t="s">
        <v>884</v>
      </c>
      <c r="B157" s="94">
        <v>0</v>
      </c>
      <c r="C157" s="94" t="s">
        <v>0</v>
      </c>
      <c r="D157" s="94" t="s">
        <v>0</v>
      </c>
      <c r="E157" s="94" t="s">
        <v>863</v>
      </c>
      <c r="F157" s="94" t="s">
        <v>0</v>
      </c>
      <c r="G157" s="94" t="s">
        <v>0</v>
      </c>
      <c r="H157" s="95">
        <v>1650</v>
      </c>
      <c r="I157" s="94" t="s">
        <v>0</v>
      </c>
      <c r="J157" s="94" t="s">
        <v>0</v>
      </c>
      <c r="K157" s="94" t="s">
        <v>1126</v>
      </c>
      <c r="L157" s="94" t="s">
        <v>0</v>
      </c>
      <c r="M157" s="94" t="s">
        <v>0</v>
      </c>
      <c r="N157" s="94">
        <v>0</v>
      </c>
      <c r="O157" s="65" t="s">
        <v>861</v>
      </c>
    </row>
    <row r="158" spans="1:15" ht="13.7" customHeight="1" thickBot="1">
      <c r="A158" s="66">
        <v>44494</v>
      </c>
      <c r="B158" s="94"/>
      <c r="C158" s="94"/>
      <c r="D158" s="94"/>
      <c r="E158" s="94"/>
      <c r="F158" s="94"/>
      <c r="G158" s="94"/>
      <c r="H158" s="95"/>
      <c r="I158" s="94"/>
      <c r="J158" s="94"/>
      <c r="K158" s="94"/>
      <c r="L158" s="94"/>
      <c r="M158" s="94"/>
      <c r="N158" s="94"/>
      <c r="O158" s="66">
        <v>44493</v>
      </c>
    </row>
    <row r="159" spans="1:15" ht="19.7" customHeight="1">
      <c r="A159" s="69" t="s">
        <v>884</v>
      </c>
      <c r="B159" s="92">
        <v>0</v>
      </c>
      <c r="C159" s="92" t="s">
        <v>0</v>
      </c>
      <c r="D159" s="92" t="s">
        <v>0</v>
      </c>
      <c r="E159" s="92" t="s">
        <v>863</v>
      </c>
      <c r="F159" s="92" t="s">
        <v>0</v>
      </c>
      <c r="G159" s="92" t="s">
        <v>0</v>
      </c>
      <c r="H159" s="90">
        <v>1660</v>
      </c>
      <c r="I159" s="92" t="s">
        <v>0</v>
      </c>
      <c r="J159" s="92" t="s">
        <v>0</v>
      </c>
      <c r="K159" s="92" t="s">
        <v>1127</v>
      </c>
      <c r="L159" s="92" t="s">
        <v>0</v>
      </c>
      <c r="M159" s="92" t="s">
        <v>0</v>
      </c>
      <c r="N159" s="88">
        <v>0</v>
      </c>
      <c r="O159" s="71" t="s">
        <v>861</v>
      </c>
    </row>
    <row r="160" spans="1:15" ht="13.7" customHeight="1" thickBot="1">
      <c r="A160" s="70">
        <v>44494</v>
      </c>
      <c r="B160" s="93"/>
      <c r="C160" s="93"/>
      <c r="D160" s="93"/>
      <c r="E160" s="93"/>
      <c r="F160" s="93"/>
      <c r="G160" s="93"/>
      <c r="H160" s="91"/>
      <c r="I160" s="93"/>
      <c r="J160" s="93"/>
      <c r="K160" s="93"/>
      <c r="L160" s="93"/>
      <c r="M160" s="93"/>
      <c r="N160" s="89"/>
      <c r="O160" s="72">
        <v>44493</v>
      </c>
    </row>
  </sheetData>
  <autoFilter ref="A9:O160" xr:uid="{1B05560A-4180-4721-A05B-E6472C3B8AB8}"/>
  <mergeCells count="975">
    <mergeCell ref="J11:J12"/>
    <mergeCell ref="K11:K12"/>
    <mergeCell ref="L11:L12"/>
    <mergeCell ref="M11:M12"/>
    <mergeCell ref="K13:K14"/>
    <mergeCell ref="L13:L14"/>
    <mergeCell ref="M13:M14"/>
    <mergeCell ref="N13:N14"/>
    <mergeCell ref="B13:B14"/>
    <mergeCell ref="C13:C14"/>
    <mergeCell ref="D13:D14"/>
    <mergeCell ref="E13:E14"/>
    <mergeCell ref="F13:F14"/>
    <mergeCell ref="G13:G14"/>
    <mergeCell ref="H13:H14"/>
    <mergeCell ref="I13:I14"/>
    <mergeCell ref="J13:J14"/>
    <mergeCell ref="B15:B16"/>
    <mergeCell ref="B11:B12"/>
    <mergeCell ref="C11:C12"/>
    <mergeCell ref="D11:D12"/>
    <mergeCell ref="E11:E12"/>
    <mergeCell ref="F11:F12"/>
    <mergeCell ref="G11:G12"/>
    <mergeCell ref="H11:H12"/>
    <mergeCell ref="I11:I12"/>
    <mergeCell ref="D15:D16"/>
    <mergeCell ref="E15:E16"/>
    <mergeCell ref="F15:F16"/>
    <mergeCell ref="G15:G16"/>
    <mergeCell ref="N11:N12"/>
    <mergeCell ref="B19:B20"/>
    <mergeCell ref="C19:C20"/>
    <mergeCell ref="D19:D20"/>
    <mergeCell ref="E19:E20"/>
    <mergeCell ref="F19:F20"/>
    <mergeCell ref="G19:G20"/>
    <mergeCell ref="H19:H20"/>
    <mergeCell ref="I19:I20"/>
    <mergeCell ref="I17:I18"/>
    <mergeCell ref="J17:J18"/>
    <mergeCell ref="K17:K18"/>
    <mergeCell ref="L17:L18"/>
    <mergeCell ref="M17:M18"/>
    <mergeCell ref="N17:N18"/>
    <mergeCell ref="N15:N16"/>
    <mergeCell ref="B17:B18"/>
    <mergeCell ref="C17:C18"/>
    <mergeCell ref="D17:D18"/>
    <mergeCell ref="E17:E18"/>
    <mergeCell ref="F17:F18"/>
    <mergeCell ref="G17:G18"/>
    <mergeCell ref="H17:H18"/>
    <mergeCell ref="H15:H16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C15:C16"/>
    <mergeCell ref="D23:D24"/>
    <mergeCell ref="E23:E24"/>
    <mergeCell ref="F23:F24"/>
    <mergeCell ref="G23:G24"/>
    <mergeCell ref="K21:K22"/>
    <mergeCell ref="L21:L22"/>
    <mergeCell ref="M21:M22"/>
    <mergeCell ref="N21:N22"/>
    <mergeCell ref="J19:J20"/>
    <mergeCell ref="K19:K20"/>
    <mergeCell ref="L19:L20"/>
    <mergeCell ref="M19:M20"/>
    <mergeCell ref="N19:N20"/>
    <mergeCell ref="I15:I16"/>
    <mergeCell ref="J15:J16"/>
    <mergeCell ref="K15:K16"/>
    <mergeCell ref="L15:L16"/>
    <mergeCell ref="M15:M16"/>
    <mergeCell ref="I25:I26"/>
    <mergeCell ref="J25:J26"/>
    <mergeCell ref="K25:K26"/>
    <mergeCell ref="L25:L26"/>
    <mergeCell ref="M25:M26"/>
    <mergeCell ref="N25:N26"/>
    <mergeCell ref="N23:N24"/>
    <mergeCell ref="B25:B26"/>
    <mergeCell ref="C25:C26"/>
    <mergeCell ref="D25:D26"/>
    <mergeCell ref="E25:E26"/>
    <mergeCell ref="F25:F26"/>
    <mergeCell ref="G25:G26"/>
    <mergeCell ref="H25:H26"/>
    <mergeCell ref="H23:H24"/>
    <mergeCell ref="I23:I24"/>
    <mergeCell ref="J23:J24"/>
    <mergeCell ref="K23:K24"/>
    <mergeCell ref="L23:L24"/>
    <mergeCell ref="M23:M24"/>
    <mergeCell ref="B23:B24"/>
    <mergeCell ref="C23:C24"/>
    <mergeCell ref="J27:J28"/>
    <mergeCell ref="K27:K28"/>
    <mergeCell ref="L27:L28"/>
    <mergeCell ref="M27:M28"/>
    <mergeCell ref="N27:N28"/>
    <mergeCell ref="B27:B28"/>
    <mergeCell ref="C27:C28"/>
    <mergeCell ref="D27:D28"/>
    <mergeCell ref="E27:E28"/>
    <mergeCell ref="F27:F28"/>
    <mergeCell ref="G27:G28"/>
    <mergeCell ref="H27:H28"/>
    <mergeCell ref="I27:I28"/>
    <mergeCell ref="F31:F32"/>
    <mergeCell ref="G31:G32"/>
    <mergeCell ref="K29:K30"/>
    <mergeCell ref="L29:L30"/>
    <mergeCell ref="M29:M30"/>
    <mergeCell ref="N29:N30"/>
    <mergeCell ref="B29:B30"/>
    <mergeCell ref="C29:C30"/>
    <mergeCell ref="D29:D30"/>
    <mergeCell ref="E29:E30"/>
    <mergeCell ref="F29:F30"/>
    <mergeCell ref="G29:G30"/>
    <mergeCell ref="H29:H30"/>
    <mergeCell ref="I29:I30"/>
    <mergeCell ref="J29:J30"/>
    <mergeCell ref="I33:I34"/>
    <mergeCell ref="J33:J34"/>
    <mergeCell ref="K33:K34"/>
    <mergeCell ref="L33:L34"/>
    <mergeCell ref="M33:M34"/>
    <mergeCell ref="N33:N34"/>
    <mergeCell ref="N31:N32"/>
    <mergeCell ref="B33:B34"/>
    <mergeCell ref="C33:C34"/>
    <mergeCell ref="D33:D34"/>
    <mergeCell ref="E33:E34"/>
    <mergeCell ref="F33:F34"/>
    <mergeCell ref="G33:G34"/>
    <mergeCell ref="H33:H34"/>
    <mergeCell ref="H31:H32"/>
    <mergeCell ref="I31:I32"/>
    <mergeCell ref="J31:J32"/>
    <mergeCell ref="K31:K32"/>
    <mergeCell ref="L31:L32"/>
    <mergeCell ref="M31:M32"/>
    <mergeCell ref="B31:B32"/>
    <mergeCell ref="C31:C32"/>
    <mergeCell ref="D31:D32"/>
    <mergeCell ref="E31:E32"/>
    <mergeCell ref="J35:J36"/>
    <mergeCell ref="K35:K36"/>
    <mergeCell ref="L35:L36"/>
    <mergeCell ref="M35:M36"/>
    <mergeCell ref="N35:N36"/>
    <mergeCell ref="B35:B36"/>
    <mergeCell ref="C35:C36"/>
    <mergeCell ref="D35:D36"/>
    <mergeCell ref="E35:E36"/>
    <mergeCell ref="F35:F36"/>
    <mergeCell ref="G35:G36"/>
    <mergeCell ref="H35:H36"/>
    <mergeCell ref="I35:I36"/>
    <mergeCell ref="F39:F40"/>
    <mergeCell ref="G39:G40"/>
    <mergeCell ref="K37:K38"/>
    <mergeCell ref="L37:L38"/>
    <mergeCell ref="M37:M38"/>
    <mergeCell ref="N37:N38"/>
    <mergeCell ref="B37:B38"/>
    <mergeCell ref="C37:C38"/>
    <mergeCell ref="D37:D38"/>
    <mergeCell ref="E37:E38"/>
    <mergeCell ref="F37:F38"/>
    <mergeCell ref="G37:G38"/>
    <mergeCell ref="H37:H38"/>
    <mergeCell ref="I37:I38"/>
    <mergeCell ref="J37:J38"/>
    <mergeCell ref="I41:I42"/>
    <mergeCell ref="J41:J42"/>
    <mergeCell ref="K41:K42"/>
    <mergeCell ref="L41:L42"/>
    <mergeCell ref="M41:M42"/>
    <mergeCell ref="N41:N42"/>
    <mergeCell ref="N39:N40"/>
    <mergeCell ref="B41:B42"/>
    <mergeCell ref="C41:C42"/>
    <mergeCell ref="D41:D42"/>
    <mergeCell ref="E41:E42"/>
    <mergeCell ref="F41:F42"/>
    <mergeCell ref="G41:G42"/>
    <mergeCell ref="H41:H42"/>
    <mergeCell ref="H39:H40"/>
    <mergeCell ref="I39:I40"/>
    <mergeCell ref="J39:J40"/>
    <mergeCell ref="K39:K40"/>
    <mergeCell ref="L39:L40"/>
    <mergeCell ref="M39:M40"/>
    <mergeCell ref="B39:B40"/>
    <mergeCell ref="C39:C40"/>
    <mergeCell ref="D39:D40"/>
    <mergeCell ref="E39:E40"/>
    <mergeCell ref="J43:J44"/>
    <mergeCell ref="K43:K44"/>
    <mergeCell ref="L43:L44"/>
    <mergeCell ref="M43:M44"/>
    <mergeCell ref="N43:N44"/>
    <mergeCell ref="B43:B44"/>
    <mergeCell ref="C43:C44"/>
    <mergeCell ref="D43:D44"/>
    <mergeCell ref="E43:E44"/>
    <mergeCell ref="F43:F44"/>
    <mergeCell ref="G43:G44"/>
    <mergeCell ref="H43:H44"/>
    <mergeCell ref="I43:I44"/>
    <mergeCell ref="F47:F48"/>
    <mergeCell ref="G47:G48"/>
    <mergeCell ref="K45:K46"/>
    <mergeCell ref="L45:L46"/>
    <mergeCell ref="M45:M46"/>
    <mergeCell ref="N45:N46"/>
    <mergeCell ref="B45:B46"/>
    <mergeCell ref="C45:C46"/>
    <mergeCell ref="D45:D46"/>
    <mergeCell ref="E45:E46"/>
    <mergeCell ref="F45:F46"/>
    <mergeCell ref="G45:G46"/>
    <mergeCell ref="H45:H46"/>
    <mergeCell ref="I45:I46"/>
    <mergeCell ref="J45:J46"/>
    <mergeCell ref="I49:I50"/>
    <mergeCell ref="J49:J50"/>
    <mergeCell ref="K49:K50"/>
    <mergeCell ref="L49:L50"/>
    <mergeCell ref="M49:M50"/>
    <mergeCell ref="N49:N50"/>
    <mergeCell ref="N47:N48"/>
    <mergeCell ref="B49:B50"/>
    <mergeCell ref="C49:C50"/>
    <mergeCell ref="D49:D50"/>
    <mergeCell ref="E49:E50"/>
    <mergeCell ref="F49:F50"/>
    <mergeCell ref="G49:G50"/>
    <mergeCell ref="H49:H50"/>
    <mergeCell ref="H47:H48"/>
    <mergeCell ref="I47:I48"/>
    <mergeCell ref="J47:J48"/>
    <mergeCell ref="K47:K48"/>
    <mergeCell ref="L47:L48"/>
    <mergeCell ref="M47:M48"/>
    <mergeCell ref="B47:B48"/>
    <mergeCell ref="C47:C48"/>
    <mergeCell ref="D47:D48"/>
    <mergeCell ref="E47:E48"/>
    <mergeCell ref="J51:J52"/>
    <mergeCell ref="K51:K52"/>
    <mergeCell ref="L51:L52"/>
    <mergeCell ref="M51:M52"/>
    <mergeCell ref="N51:N52"/>
    <mergeCell ref="B51:B52"/>
    <mergeCell ref="C51:C52"/>
    <mergeCell ref="D51:D52"/>
    <mergeCell ref="E51:E52"/>
    <mergeCell ref="F51:F52"/>
    <mergeCell ref="G51:G52"/>
    <mergeCell ref="H51:H52"/>
    <mergeCell ref="I51:I52"/>
    <mergeCell ref="F55:F56"/>
    <mergeCell ref="G55:G56"/>
    <mergeCell ref="K53:K54"/>
    <mergeCell ref="L53:L54"/>
    <mergeCell ref="M53:M54"/>
    <mergeCell ref="N53:N54"/>
    <mergeCell ref="B53:B54"/>
    <mergeCell ref="C53:C54"/>
    <mergeCell ref="D53:D54"/>
    <mergeCell ref="E53:E54"/>
    <mergeCell ref="F53:F54"/>
    <mergeCell ref="G53:G54"/>
    <mergeCell ref="H53:H54"/>
    <mergeCell ref="I53:I54"/>
    <mergeCell ref="J53:J54"/>
    <mergeCell ref="I57:I58"/>
    <mergeCell ref="J57:J58"/>
    <mergeCell ref="K57:K58"/>
    <mergeCell ref="L57:L58"/>
    <mergeCell ref="M57:M58"/>
    <mergeCell ref="N57:N58"/>
    <mergeCell ref="N55:N56"/>
    <mergeCell ref="B57:B58"/>
    <mergeCell ref="C57:C58"/>
    <mergeCell ref="D57:D58"/>
    <mergeCell ref="E57:E58"/>
    <mergeCell ref="F57:F58"/>
    <mergeCell ref="G57:G58"/>
    <mergeCell ref="H57:H58"/>
    <mergeCell ref="H55:H56"/>
    <mergeCell ref="I55:I56"/>
    <mergeCell ref="J55:J56"/>
    <mergeCell ref="K55:K56"/>
    <mergeCell ref="L55:L56"/>
    <mergeCell ref="M55:M56"/>
    <mergeCell ref="B55:B56"/>
    <mergeCell ref="C55:C56"/>
    <mergeCell ref="D55:D56"/>
    <mergeCell ref="E55:E56"/>
    <mergeCell ref="J59:J60"/>
    <mergeCell ref="K59:K60"/>
    <mergeCell ref="L59:L60"/>
    <mergeCell ref="M59:M60"/>
    <mergeCell ref="N59:N60"/>
    <mergeCell ref="B59:B60"/>
    <mergeCell ref="C59:C60"/>
    <mergeCell ref="D59:D60"/>
    <mergeCell ref="E59:E60"/>
    <mergeCell ref="F59:F60"/>
    <mergeCell ref="G59:G60"/>
    <mergeCell ref="H59:H60"/>
    <mergeCell ref="I59:I60"/>
    <mergeCell ref="F63:F64"/>
    <mergeCell ref="G63:G64"/>
    <mergeCell ref="K61:K62"/>
    <mergeCell ref="L61:L62"/>
    <mergeCell ref="M61:M62"/>
    <mergeCell ref="N61:N62"/>
    <mergeCell ref="B61:B62"/>
    <mergeCell ref="C61:C62"/>
    <mergeCell ref="D61:D62"/>
    <mergeCell ref="E61:E62"/>
    <mergeCell ref="F61:F62"/>
    <mergeCell ref="G61:G62"/>
    <mergeCell ref="H61:H62"/>
    <mergeCell ref="I61:I62"/>
    <mergeCell ref="J61:J62"/>
    <mergeCell ref="I65:I66"/>
    <mergeCell ref="J65:J66"/>
    <mergeCell ref="K65:K66"/>
    <mergeCell ref="L65:L66"/>
    <mergeCell ref="M65:M66"/>
    <mergeCell ref="N65:N66"/>
    <mergeCell ref="N63:N64"/>
    <mergeCell ref="B65:B66"/>
    <mergeCell ref="C65:C66"/>
    <mergeCell ref="D65:D66"/>
    <mergeCell ref="E65:E66"/>
    <mergeCell ref="F65:F66"/>
    <mergeCell ref="G65:G66"/>
    <mergeCell ref="H65:H66"/>
    <mergeCell ref="H63:H64"/>
    <mergeCell ref="I63:I64"/>
    <mergeCell ref="J63:J64"/>
    <mergeCell ref="K63:K64"/>
    <mergeCell ref="L63:L64"/>
    <mergeCell ref="M63:M64"/>
    <mergeCell ref="B63:B64"/>
    <mergeCell ref="C63:C64"/>
    <mergeCell ref="D63:D64"/>
    <mergeCell ref="E63:E64"/>
    <mergeCell ref="J67:J68"/>
    <mergeCell ref="K67:K68"/>
    <mergeCell ref="L67:L68"/>
    <mergeCell ref="M67:M68"/>
    <mergeCell ref="N67:N68"/>
    <mergeCell ref="B67:B68"/>
    <mergeCell ref="C67:C68"/>
    <mergeCell ref="D67:D68"/>
    <mergeCell ref="E67:E68"/>
    <mergeCell ref="F67:F68"/>
    <mergeCell ref="G67:G68"/>
    <mergeCell ref="H67:H68"/>
    <mergeCell ref="I67:I68"/>
    <mergeCell ref="F71:F72"/>
    <mergeCell ref="G71:G72"/>
    <mergeCell ref="K69:K70"/>
    <mergeCell ref="L69:L70"/>
    <mergeCell ref="M69:M70"/>
    <mergeCell ref="N69:N70"/>
    <mergeCell ref="B69:B70"/>
    <mergeCell ref="C69:C70"/>
    <mergeCell ref="D69:D70"/>
    <mergeCell ref="E69:E70"/>
    <mergeCell ref="F69:F70"/>
    <mergeCell ref="G69:G70"/>
    <mergeCell ref="H69:H70"/>
    <mergeCell ref="I69:I70"/>
    <mergeCell ref="J69:J70"/>
    <mergeCell ref="I73:I74"/>
    <mergeCell ref="J73:J74"/>
    <mergeCell ref="K73:K74"/>
    <mergeCell ref="L73:L74"/>
    <mergeCell ref="M73:M74"/>
    <mergeCell ref="N73:N74"/>
    <mergeCell ref="N71:N72"/>
    <mergeCell ref="B73:B74"/>
    <mergeCell ref="C73:C74"/>
    <mergeCell ref="D73:D74"/>
    <mergeCell ref="E73:E74"/>
    <mergeCell ref="F73:F74"/>
    <mergeCell ref="G73:G74"/>
    <mergeCell ref="H73:H74"/>
    <mergeCell ref="H71:H72"/>
    <mergeCell ref="I71:I72"/>
    <mergeCell ref="J71:J72"/>
    <mergeCell ref="K71:K72"/>
    <mergeCell ref="L71:L72"/>
    <mergeCell ref="M71:M72"/>
    <mergeCell ref="B71:B72"/>
    <mergeCell ref="C71:C72"/>
    <mergeCell ref="D71:D72"/>
    <mergeCell ref="E71:E72"/>
    <mergeCell ref="J75:J76"/>
    <mergeCell ref="K75:K76"/>
    <mergeCell ref="L75:L76"/>
    <mergeCell ref="M75:M76"/>
    <mergeCell ref="N75:N76"/>
    <mergeCell ref="B75:B76"/>
    <mergeCell ref="C75:C76"/>
    <mergeCell ref="D75:D76"/>
    <mergeCell ref="E75:E76"/>
    <mergeCell ref="F75:F76"/>
    <mergeCell ref="G75:G76"/>
    <mergeCell ref="H75:H76"/>
    <mergeCell ref="I75:I76"/>
    <mergeCell ref="F79:F80"/>
    <mergeCell ref="G79:G80"/>
    <mergeCell ref="K77:K78"/>
    <mergeCell ref="L77:L78"/>
    <mergeCell ref="M77:M78"/>
    <mergeCell ref="N77:N78"/>
    <mergeCell ref="B77:B78"/>
    <mergeCell ref="C77:C78"/>
    <mergeCell ref="D77:D78"/>
    <mergeCell ref="E77:E78"/>
    <mergeCell ref="F77:F78"/>
    <mergeCell ref="G77:G78"/>
    <mergeCell ref="H77:H78"/>
    <mergeCell ref="I77:I78"/>
    <mergeCell ref="J77:J78"/>
    <mergeCell ref="I81:I82"/>
    <mergeCell ref="J81:J82"/>
    <mergeCell ref="K81:K82"/>
    <mergeCell ref="L81:L82"/>
    <mergeCell ref="M81:M82"/>
    <mergeCell ref="N81:N82"/>
    <mergeCell ref="N79:N80"/>
    <mergeCell ref="B81:B82"/>
    <mergeCell ref="C81:C82"/>
    <mergeCell ref="D81:D82"/>
    <mergeCell ref="E81:E82"/>
    <mergeCell ref="F81:F82"/>
    <mergeCell ref="G81:G82"/>
    <mergeCell ref="H81:H82"/>
    <mergeCell ref="H79:H80"/>
    <mergeCell ref="I79:I80"/>
    <mergeCell ref="J79:J80"/>
    <mergeCell ref="K79:K80"/>
    <mergeCell ref="L79:L80"/>
    <mergeCell ref="M79:M80"/>
    <mergeCell ref="B79:B80"/>
    <mergeCell ref="C79:C80"/>
    <mergeCell ref="D79:D80"/>
    <mergeCell ref="E79:E80"/>
    <mergeCell ref="J83:J84"/>
    <mergeCell ref="K83:K84"/>
    <mergeCell ref="L83:L84"/>
    <mergeCell ref="M83:M84"/>
    <mergeCell ref="N83:N84"/>
    <mergeCell ref="B83:B84"/>
    <mergeCell ref="C83:C84"/>
    <mergeCell ref="D83:D84"/>
    <mergeCell ref="E83:E84"/>
    <mergeCell ref="F83:F84"/>
    <mergeCell ref="G83:G84"/>
    <mergeCell ref="H83:H84"/>
    <mergeCell ref="I83:I84"/>
    <mergeCell ref="F87:F88"/>
    <mergeCell ref="G87:G88"/>
    <mergeCell ref="K85:K86"/>
    <mergeCell ref="L85:L86"/>
    <mergeCell ref="M85:M86"/>
    <mergeCell ref="N85:N86"/>
    <mergeCell ref="B85:B86"/>
    <mergeCell ref="C85:C86"/>
    <mergeCell ref="D85:D86"/>
    <mergeCell ref="E85:E86"/>
    <mergeCell ref="F85:F86"/>
    <mergeCell ref="G85:G86"/>
    <mergeCell ref="H85:H86"/>
    <mergeCell ref="I85:I86"/>
    <mergeCell ref="J85:J86"/>
    <mergeCell ref="I89:I90"/>
    <mergeCell ref="J89:J90"/>
    <mergeCell ref="K89:K90"/>
    <mergeCell ref="L89:L90"/>
    <mergeCell ref="M89:M90"/>
    <mergeCell ref="N89:N90"/>
    <mergeCell ref="N87:N88"/>
    <mergeCell ref="B89:B90"/>
    <mergeCell ref="C89:C90"/>
    <mergeCell ref="D89:D90"/>
    <mergeCell ref="E89:E90"/>
    <mergeCell ref="F89:F90"/>
    <mergeCell ref="G89:G90"/>
    <mergeCell ref="H89:H90"/>
    <mergeCell ref="H87:H88"/>
    <mergeCell ref="I87:I88"/>
    <mergeCell ref="J87:J88"/>
    <mergeCell ref="K87:K88"/>
    <mergeCell ref="L87:L88"/>
    <mergeCell ref="M87:M88"/>
    <mergeCell ref="B87:B88"/>
    <mergeCell ref="C87:C88"/>
    <mergeCell ref="D87:D88"/>
    <mergeCell ref="E87:E88"/>
    <mergeCell ref="J91:J92"/>
    <mergeCell ref="K91:K92"/>
    <mergeCell ref="L91:L92"/>
    <mergeCell ref="M91:M92"/>
    <mergeCell ref="N91:N92"/>
    <mergeCell ref="B91:B92"/>
    <mergeCell ref="C91:C92"/>
    <mergeCell ref="D91:D92"/>
    <mergeCell ref="E91:E92"/>
    <mergeCell ref="F91:F92"/>
    <mergeCell ref="G91:G92"/>
    <mergeCell ref="H91:H92"/>
    <mergeCell ref="I91:I92"/>
    <mergeCell ref="F95:F96"/>
    <mergeCell ref="G95:G96"/>
    <mergeCell ref="K93:K94"/>
    <mergeCell ref="L93:L94"/>
    <mergeCell ref="M93:M94"/>
    <mergeCell ref="N93:N94"/>
    <mergeCell ref="B93:B94"/>
    <mergeCell ref="C93:C94"/>
    <mergeCell ref="D93:D94"/>
    <mergeCell ref="E93:E94"/>
    <mergeCell ref="F93:F94"/>
    <mergeCell ref="G93:G94"/>
    <mergeCell ref="H93:H94"/>
    <mergeCell ref="I93:I94"/>
    <mergeCell ref="J93:J94"/>
    <mergeCell ref="I97:I98"/>
    <mergeCell ref="J97:J98"/>
    <mergeCell ref="K97:K98"/>
    <mergeCell ref="L97:L98"/>
    <mergeCell ref="M97:M98"/>
    <mergeCell ref="N97:N98"/>
    <mergeCell ref="N95:N96"/>
    <mergeCell ref="B97:B98"/>
    <mergeCell ref="C97:C98"/>
    <mergeCell ref="D97:D98"/>
    <mergeCell ref="E97:E98"/>
    <mergeCell ref="F97:F98"/>
    <mergeCell ref="G97:G98"/>
    <mergeCell ref="H97:H98"/>
    <mergeCell ref="H95:H96"/>
    <mergeCell ref="I95:I96"/>
    <mergeCell ref="J95:J96"/>
    <mergeCell ref="K95:K96"/>
    <mergeCell ref="L95:L96"/>
    <mergeCell ref="M95:M96"/>
    <mergeCell ref="B95:B96"/>
    <mergeCell ref="C95:C96"/>
    <mergeCell ref="D95:D96"/>
    <mergeCell ref="E95:E96"/>
    <mergeCell ref="J99:J100"/>
    <mergeCell ref="K99:K100"/>
    <mergeCell ref="L99:L100"/>
    <mergeCell ref="M99:M100"/>
    <mergeCell ref="N99:N100"/>
    <mergeCell ref="B99:B100"/>
    <mergeCell ref="C99:C100"/>
    <mergeCell ref="D99:D100"/>
    <mergeCell ref="E99:E100"/>
    <mergeCell ref="F99:F100"/>
    <mergeCell ref="G99:G100"/>
    <mergeCell ref="H99:H100"/>
    <mergeCell ref="I99:I100"/>
    <mergeCell ref="F103:F104"/>
    <mergeCell ref="G103:G104"/>
    <mergeCell ref="K101:K102"/>
    <mergeCell ref="L101:L102"/>
    <mergeCell ref="M101:M102"/>
    <mergeCell ref="N101:N102"/>
    <mergeCell ref="B101:B102"/>
    <mergeCell ref="C101:C102"/>
    <mergeCell ref="D101:D102"/>
    <mergeCell ref="E101:E102"/>
    <mergeCell ref="F101:F102"/>
    <mergeCell ref="G101:G102"/>
    <mergeCell ref="H101:H102"/>
    <mergeCell ref="I101:I102"/>
    <mergeCell ref="J101:J102"/>
    <mergeCell ref="I105:I106"/>
    <mergeCell ref="J105:J106"/>
    <mergeCell ref="K105:K106"/>
    <mergeCell ref="L105:L106"/>
    <mergeCell ref="M105:M106"/>
    <mergeCell ref="N105:N106"/>
    <mergeCell ref="N103:N104"/>
    <mergeCell ref="B105:B106"/>
    <mergeCell ref="C105:C106"/>
    <mergeCell ref="D105:D106"/>
    <mergeCell ref="E105:E106"/>
    <mergeCell ref="F105:F106"/>
    <mergeCell ref="G105:G106"/>
    <mergeCell ref="H105:H106"/>
    <mergeCell ref="H103:H104"/>
    <mergeCell ref="I103:I104"/>
    <mergeCell ref="J103:J104"/>
    <mergeCell ref="K103:K104"/>
    <mergeCell ref="L103:L104"/>
    <mergeCell ref="M103:M104"/>
    <mergeCell ref="B103:B104"/>
    <mergeCell ref="C103:C104"/>
    <mergeCell ref="D103:D104"/>
    <mergeCell ref="E103:E104"/>
    <mergeCell ref="J107:J108"/>
    <mergeCell ref="K107:K108"/>
    <mergeCell ref="L107:L108"/>
    <mergeCell ref="M107:M108"/>
    <mergeCell ref="N107:N108"/>
    <mergeCell ref="B107:B108"/>
    <mergeCell ref="C107:C108"/>
    <mergeCell ref="D107:D108"/>
    <mergeCell ref="E107:E108"/>
    <mergeCell ref="F107:F108"/>
    <mergeCell ref="G107:G108"/>
    <mergeCell ref="H107:H108"/>
    <mergeCell ref="I107:I108"/>
    <mergeCell ref="F111:F112"/>
    <mergeCell ref="G111:G112"/>
    <mergeCell ref="K109:K110"/>
    <mergeCell ref="L109:L110"/>
    <mergeCell ref="M109:M110"/>
    <mergeCell ref="N109:N110"/>
    <mergeCell ref="B109:B110"/>
    <mergeCell ref="C109:C110"/>
    <mergeCell ref="D109:D110"/>
    <mergeCell ref="E109:E110"/>
    <mergeCell ref="F109:F110"/>
    <mergeCell ref="G109:G110"/>
    <mergeCell ref="H109:H110"/>
    <mergeCell ref="I109:I110"/>
    <mergeCell ref="J109:J110"/>
    <mergeCell ref="I113:I114"/>
    <mergeCell ref="J113:J114"/>
    <mergeCell ref="K113:K114"/>
    <mergeCell ref="L113:L114"/>
    <mergeCell ref="M113:M114"/>
    <mergeCell ref="N113:N114"/>
    <mergeCell ref="N111:N112"/>
    <mergeCell ref="B113:B114"/>
    <mergeCell ref="C113:C114"/>
    <mergeCell ref="D113:D114"/>
    <mergeCell ref="E113:E114"/>
    <mergeCell ref="F113:F114"/>
    <mergeCell ref="G113:G114"/>
    <mergeCell ref="H113:H114"/>
    <mergeCell ref="H111:H112"/>
    <mergeCell ref="I111:I112"/>
    <mergeCell ref="J111:J112"/>
    <mergeCell ref="K111:K112"/>
    <mergeCell ref="L111:L112"/>
    <mergeCell ref="M111:M112"/>
    <mergeCell ref="B111:B112"/>
    <mergeCell ref="C111:C112"/>
    <mergeCell ref="D111:D112"/>
    <mergeCell ref="E111:E112"/>
    <mergeCell ref="J115:J116"/>
    <mergeCell ref="K115:K116"/>
    <mergeCell ref="L115:L116"/>
    <mergeCell ref="M115:M116"/>
    <mergeCell ref="N115:N116"/>
    <mergeCell ref="B115:B116"/>
    <mergeCell ref="C115:C116"/>
    <mergeCell ref="D115:D116"/>
    <mergeCell ref="E115:E116"/>
    <mergeCell ref="F115:F116"/>
    <mergeCell ref="G115:G116"/>
    <mergeCell ref="H115:H116"/>
    <mergeCell ref="I115:I116"/>
    <mergeCell ref="F119:F120"/>
    <mergeCell ref="G119:G120"/>
    <mergeCell ref="K117:K118"/>
    <mergeCell ref="L117:L118"/>
    <mergeCell ref="M117:M118"/>
    <mergeCell ref="N117:N118"/>
    <mergeCell ref="B117:B118"/>
    <mergeCell ref="C117:C118"/>
    <mergeCell ref="D117:D118"/>
    <mergeCell ref="E117:E118"/>
    <mergeCell ref="F117:F118"/>
    <mergeCell ref="G117:G118"/>
    <mergeCell ref="H117:H118"/>
    <mergeCell ref="I117:I118"/>
    <mergeCell ref="J117:J118"/>
    <mergeCell ref="I121:I122"/>
    <mergeCell ref="J121:J122"/>
    <mergeCell ref="K121:K122"/>
    <mergeCell ref="L121:L122"/>
    <mergeCell ref="M121:M122"/>
    <mergeCell ref="N121:N122"/>
    <mergeCell ref="N119:N120"/>
    <mergeCell ref="B121:B122"/>
    <mergeCell ref="C121:C122"/>
    <mergeCell ref="D121:D122"/>
    <mergeCell ref="E121:E122"/>
    <mergeCell ref="F121:F122"/>
    <mergeCell ref="G121:G122"/>
    <mergeCell ref="H121:H122"/>
    <mergeCell ref="H119:H120"/>
    <mergeCell ref="I119:I120"/>
    <mergeCell ref="J119:J120"/>
    <mergeCell ref="K119:K120"/>
    <mergeCell ref="L119:L120"/>
    <mergeCell ref="M119:M120"/>
    <mergeCell ref="B119:B120"/>
    <mergeCell ref="C119:C120"/>
    <mergeCell ref="D119:D120"/>
    <mergeCell ref="E119:E120"/>
    <mergeCell ref="J123:J124"/>
    <mergeCell ref="K123:K124"/>
    <mergeCell ref="L123:L124"/>
    <mergeCell ref="M123:M124"/>
    <mergeCell ref="N123:N124"/>
    <mergeCell ref="B123:B124"/>
    <mergeCell ref="C123:C124"/>
    <mergeCell ref="D123:D124"/>
    <mergeCell ref="E123:E124"/>
    <mergeCell ref="F123:F124"/>
    <mergeCell ref="G123:G124"/>
    <mergeCell ref="H123:H124"/>
    <mergeCell ref="I123:I124"/>
    <mergeCell ref="F127:F128"/>
    <mergeCell ref="G127:G128"/>
    <mergeCell ref="K125:K126"/>
    <mergeCell ref="L125:L126"/>
    <mergeCell ref="M125:M126"/>
    <mergeCell ref="N125:N126"/>
    <mergeCell ref="B125:B126"/>
    <mergeCell ref="C125:C126"/>
    <mergeCell ref="D125:D126"/>
    <mergeCell ref="E125:E126"/>
    <mergeCell ref="F125:F126"/>
    <mergeCell ref="G125:G126"/>
    <mergeCell ref="H125:H126"/>
    <mergeCell ref="I125:I126"/>
    <mergeCell ref="J125:J126"/>
    <mergeCell ref="I129:I130"/>
    <mergeCell ref="J129:J130"/>
    <mergeCell ref="K129:K130"/>
    <mergeCell ref="L129:L130"/>
    <mergeCell ref="M129:M130"/>
    <mergeCell ref="N129:N130"/>
    <mergeCell ref="N127:N128"/>
    <mergeCell ref="B129:B130"/>
    <mergeCell ref="C129:C130"/>
    <mergeCell ref="D129:D130"/>
    <mergeCell ref="E129:E130"/>
    <mergeCell ref="F129:F130"/>
    <mergeCell ref="G129:G130"/>
    <mergeCell ref="H129:H130"/>
    <mergeCell ref="H127:H128"/>
    <mergeCell ref="I127:I128"/>
    <mergeCell ref="J127:J128"/>
    <mergeCell ref="K127:K128"/>
    <mergeCell ref="L127:L128"/>
    <mergeCell ref="M127:M128"/>
    <mergeCell ref="B127:B128"/>
    <mergeCell ref="C127:C128"/>
    <mergeCell ref="D127:D128"/>
    <mergeCell ref="E127:E128"/>
    <mergeCell ref="J131:J132"/>
    <mergeCell ref="K131:K132"/>
    <mergeCell ref="L131:L132"/>
    <mergeCell ref="M131:M132"/>
    <mergeCell ref="N131:N132"/>
    <mergeCell ref="B131:B132"/>
    <mergeCell ref="C131:C132"/>
    <mergeCell ref="D131:D132"/>
    <mergeCell ref="E131:E132"/>
    <mergeCell ref="F131:F132"/>
    <mergeCell ref="G131:G132"/>
    <mergeCell ref="H131:H132"/>
    <mergeCell ref="I131:I132"/>
    <mergeCell ref="F135:F136"/>
    <mergeCell ref="G135:G136"/>
    <mergeCell ref="K133:K134"/>
    <mergeCell ref="L133:L134"/>
    <mergeCell ref="M133:M134"/>
    <mergeCell ref="N133:N134"/>
    <mergeCell ref="B133:B134"/>
    <mergeCell ref="C133:C134"/>
    <mergeCell ref="D133:D134"/>
    <mergeCell ref="E133:E134"/>
    <mergeCell ref="F133:F134"/>
    <mergeCell ref="G133:G134"/>
    <mergeCell ref="H133:H134"/>
    <mergeCell ref="I133:I134"/>
    <mergeCell ref="J133:J134"/>
    <mergeCell ref="I137:I138"/>
    <mergeCell ref="J137:J138"/>
    <mergeCell ref="K137:K138"/>
    <mergeCell ref="L137:L138"/>
    <mergeCell ref="M137:M138"/>
    <mergeCell ref="N137:N138"/>
    <mergeCell ref="N135:N136"/>
    <mergeCell ref="B137:B138"/>
    <mergeCell ref="C137:C138"/>
    <mergeCell ref="D137:D138"/>
    <mergeCell ref="E137:E138"/>
    <mergeCell ref="F137:F138"/>
    <mergeCell ref="G137:G138"/>
    <mergeCell ref="H137:H138"/>
    <mergeCell ref="H135:H136"/>
    <mergeCell ref="I135:I136"/>
    <mergeCell ref="J135:J136"/>
    <mergeCell ref="K135:K136"/>
    <mergeCell ref="L135:L136"/>
    <mergeCell ref="M135:M136"/>
    <mergeCell ref="B135:B136"/>
    <mergeCell ref="C135:C136"/>
    <mergeCell ref="D135:D136"/>
    <mergeCell ref="E135:E136"/>
    <mergeCell ref="J139:J140"/>
    <mergeCell ref="K139:K140"/>
    <mergeCell ref="L139:L140"/>
    <mergeCell ref="M139:M140"/>
    <mergeCell ref="N139:N140"/>
    <mergeCell ref="B139:B140"/>
    <mergeCell ref="C139:C140"/>
    <mergeCell ref="D139:D140"/>
    <mergeCell ref="E139:E140"/>
    <mergeCell ref="F139:F140"/>
    <mergeCell ref="G139:G140"/>
    <mergeCell ref="H139:H140"/>
    <mergeCell ref="I139:I140"/>
    <mergeCell ref="F143:F144"/>
    <mergeCell ref="G143:G144"/>
    <mergeCell ref="K141:K142"/>
    <mergeCell ref="L141:L142"/>
    <mergeCell ref="M141:M142"/>
    <mergeCell ref="N141:N142"/>
    <mergeCell ref="B141:B142"/>
    <mergeCell ref="C141:C142"/>
    <mergeCell ref="D141:D142"/>
    <mergeCell ref="E141:E142"/>
    <mergeCell ref="F141:F142"/>
    <mergeCell ref="G141:G142"/>
    <mergeCell ref="H141:H142"/>
    <mergeCell ref="I141:I142"/>
    <mergeCell ref="J141:J142"/>
    <mergeCell ref="I145:I146"/>
    <mergeCell ref="J145:J146"/>
    <mergeCell ref="K145:K146"/>
    <mergeCell ref="L145:L146"/>
    <mergeCell ref="M145:M146"/>
    <mergeCell ref="N145:N146"/>
    <mergeCell ref="N143:N144"/>
    <mergeCell ref="B145:B146"/>
    <mergeCell ref="C145:C146"/>
    <mergeCell ref="D145:D146"/>
    <mergeCell ref="E145:E146"/>
    <mergeCell ref="F145:F146"/>
    <mergeCell ref="G145:G146"/>
    <mergeCell ref="H145:H146"/>
    <mergeCell ref="H143:H144"/>
    <mergeCell ref="I143:I144"/>
    <mergeCell ref="J143:J144"/>
    <mergeCell ref="K143:K144"/>
    <mergeCell ref="L143:L144"/>
    <mergeCell ref="M143:M144"/>
    <mergeCell ref="B143:B144"/>
    <mergeCell ref="C143:C144"/>
    <mergeCell ref="D143:D144"/>
    <mergeCell ref="E143:E144"/>
    <mergeCell ref="J147:J148"/>
    <mergeCell ref="K147:K148"/>
    <mergeCell ref="L147:L148"/>
    <mergeCell ref="M147:M148"/>
    <mergeCell ref="N147:N148"/>
    <mergeCell ref="B147:B148"/>
    <mergeCell ref="C147:C148"/>
    <mergeCell ref="D147:D148"/>
    <mergeCell ref="E147:E148"/>
    <mergeCell ref="F147:F148"/>
    <mergeCell ref="G147:G148"/>
    <mergeCell ref="H147:H148"/>
    <mergeCell ref="I147:I148"/>
    <mergeCell ref="F151:F152"/>
    <mergeCell ref="G151:G152"/>
    <mergeCell ref="K149:K150"/>
    <mergeCell ref="L149:L150"/>
    <mergeCell ref="M149:M150"/>
    <mergeCell ref="N149:N150"/>
    <mergeCell ref="B149:B150"/>
    <mergeCell ref="C149:C150"/>
    <mergeCell ref="D149:D150"/>
    <mergeCell ref="E149:E150"/>
    <mergeCell ref="F149:F150"/>
    <mergeCell ref="G149:G150"/>
    <mergeCell ref="H149:H150"/>
    <mergeCell ref="I149:I150"/>
    <mergeCell ref="J149:J150"/>
    <mergeCell ref="I153:I154"/>
    <mergeCell ref="J153:J154"/>
    <mergeCell ref="K153:K154"/>
    <mergeCell ref="L153:L154"/>
    <mergeCell ref="M153:M154"/>
    <mergeCell ref="N153:N154"/>
    <mergeCell ref="N151:N152"/>
    <mergeCell ref="B153:B154"/>
    <mergeCell ref="C153:C154"/>
    <mergeCell ref="D153:D154"/>
    <mergeCell ref="E153:E154"/>
    <mergeCell ref="F153:F154"/>
    <mergeCell ref="G153:G154"/>
    <mergeCell ref="H153:H154"/>
    <mergeCell ref="H151:H152"/>
    <mergeCell ref="I151:I152"/>
    <mergeCell ref="J151:J152"/>
    <mergeCell ref="K151:K152"/>
    <mergeCell ref="L151:L152"/>
    <mergeCell ref="M151:M152"/>
    <mergeCell ref="B151:B152"/>
    <mergeCell ref="C151:C152"/>
    <mergeCell ref="D151:D152"/>
    <mergeCell ref="E151:E152"/>
    <mergeCell ref="J155:J156"/>
    <mergeCell ref="K155:K156"/>
    <mergeCell ref="L155:L156"/>
    <mergeCell ref="M155:M156"/>
    <mergeCell ref="N155:N156"/>
    <mergeCell ref="B155:B156"/>
    <mergeCell ref="C155:C156"/>
    <mergeCell ref="D155:D156"/>
    <mergeCell ref="E155:E156"/>
    <mergeCell ref="F155:F156"/>
    <mergeCell ref="G155:G156"/>
    <mergeCell ref="H155:H156"/>
    <mergeCell ref="I155:I156"/>
    <mergeCell ref="K157:K158"/>
    <mergeCell ref="L157:L158"/>
    <mergeCell ref="M157:M158"/>
    <mergeCell ref="N157:N158"/>
    <mergeCell ref="B157:B158"/>
    <mergeCell ref="C157:C158"/>
    <mergeCell ref="D157:D158"/>
    <mergeCell ref="E157:E158"/>
    <mergeCell ref="F157:F158"/>
    <mergeCell ref="G157:G158"/>
    <mergeCell ref="H157:H158"/>
    <mergeCell ref="I157:I158"/>
    <mergeCell ref="J157:J158"/>
    <mergeCell ref="N159:N160"/>
    <mergeCell ref="H159:H160"/>
    <mergeCell ref="I159:I160"/>
    <mergeCell ref="J159:J160"/>
    <mergeCell ref="K159:K160"/>
    <mergeCell ref="L159:L160"/>
    <mergeCell ref="M159:M160"/>
    <mergeCell ref="B159:B160"/>
    <mergeCell ref="C159:C160"/>
    <mergeCell ref="D159:D160"/>
    <mergeCell ref="E159:E160"/>
    <mergeCell ref="F159:F160"/>
    <mergeCell ref="G159:G160"/>
  </mergeCells>
  <hyperlinks>
    <hyperlink ref="B1" r:id="rId1" location="optionProductId=321&amp;strikeRange=ALL" xr:uid="{0C970526-2D36-40DF-8B46-F0AAF84B8B33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F8209-0743-4ED6-B503-6E6A47251262}">
  <sheetPr codeName="Sheet4"/>
  <dimension ref="A1:AT502"/>
  <sheetViews>
    <sheetView zoomScale="102" workbookViewId="0">
      <selection activeCell="B5" sqref="B5"/>
    </sheetView>
  </sheetViews>
  <sheetFormatPr defaultRowHeight="12.75"/>
  <cols>
    <col min="2" max="2" width="9.42578125" customWidth="1"/>
    <col min="14" max="14" width="10.42578125" customWidth="1"/>
    <col min="19" max="19" width="9.140625" customWidth="1"/>
    <col min="21" max="21" width="10.7109375" customWidth="1"/>
    <col min="23" max="23" width="8.85546875" customWidth="1"/>
  </cols>
  <sheetData>
    <row r="1" spans="1:46">
      <c r="A1" s="7" t="s">
        <v>21</v>
      </c>
      <c r="B1" s="3" t="s">
        <v>32</v>
      </c>
      <c r="C1" s="2"/>
      <c r="D1" s="2"/>
      <c r="E1" s="2"/>
      <c r="F1" s="2"/>
      <c r="G1" s="2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</row>
    <row r="2" spans="1:46">
      <c r="A2" s="7" t="s">
        <v>23</v>
      </c>
      <c r="B2" s="1" t="s">
        <v>87</v>
      </c>
      <c r="C2" s="2"/>
      <c r="D2" s="2"/>
      <c r="E2" s="2"/>
      <c r="F2" s="2"/>
      <c r="G2" s="2"/>
    </row>
    <row r="3" spans="1:46">
      <c r="A3" s="7" t="s">
        <v>26</v>
      </c>
      <c r="B3" s="1" t="s">
        <v>27</v>
      </c>
      <c r="C3" s="2"/>
      <c r="D3" s="2"/>
      <c r="E3" s="2"/>
      <c r="F3" s="2"/>
      <c r="G3" s="2"/>
    </row>
    <row r="4" spans="1:46">
      <c r="A4" s="7" t="s">
        <v>28</v>
      </c>
      <c r="B4" s="1" t="s">
        <v>1157</v>
      </c>
      <c r="C4" s="2"/>
      <c r="D4" s="2"/>
      <c r="E4" s="2"/>
      <c r="F4" s="2"/>
      <c r="G4" s="2"/>
    </row>
    <row r="5" spans="1:46">
      <c r="A5" s="7" t="s">
        <v>25</v>
      </c>
      <c r="B5" s="1" t="s">
        <v>1148</v>
      </c>
      <c r="C5" s="1"/>
      <c r="D5" s="1"/>
      <c r="E5" s="1"/>
      <c r="F5" s="1"/>
      <c r="G5" s="1"/>
    </row>
    <row r="6" spans="1:46">
      <c r="A6" s="7" t="s">
        <v>88</v>
      </c>
      <c r="B6" s="1">
        <v>321</v>
      </c>
      <c r="C6" s="1"/>
      <c r="D6" s="1"/>
      <c r="E6" s="1"/>
      <c r="F6" s="1"/>
      <c r="G6" s="1"/>
      <c r="S6" s="83"/>
      <c r="T6" s="83"/>
      <c r="U6" s="83"/>
      <c r="V6" s="83"/>
      <c r="W6" s="83"/>
      <c r="X6" s="83"/>
      <c r="Y6" s="83"/>
      <c r="Z6" s="83"/>
      <c r="AA6" s="83"/>
      <c r="AB6" s="83"/>
      <c r="AC6" s="83"/>
      <c r="AD6" s="83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</row>
    <row r="7" spans="1:46" ht="13.5" thickBot="1">
      <c r="A7" s="7" t="s">
        <v>90</v>
      </c>
      <c r="B7" s="1" t="s">
        <v>1130</v>
      </c>
      <c r="C7" s="1"/>
      <c r="D7" s="1"/>
      <c r="E7" s="1"/>
      <c r="F7" s="1"/>
      <c r="G7" s="1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  <c r="AL7" s="84"/>
      <c r="AM7" s="84"/>
      <c r="AN7" s="84"/>
      <c r="AO7" s="84"/>
      <c r="AP7" s="84"/>
      <c r="AQ7" s="84"/>
      <c r="AR7" s="84"/>
      <c r="AS7" s="84"/>
      <c r="AT7" s="84"/>
    </row>
    <row r="8" spans="1:46" ht="12.95" customHeight="1" thickBot="1">
      <c r="A8" s="106" t="s">
        <v>12</v>
      </c>
      <c r="B8" s="107"/>
      <c r="C8" s="107"/>
      <c r="D8" s="107"/>
      <c r="E8" s="107"/>
      <c r="F8" s="107"/>
      <c r="G8" s="107"/>
      <c r="H8" s="107"/>
      <c r="I8" s="107"/>
      <c r="J8" s="107"/>
      <c r="K8" s="108"/>
      <c r="M8" s="106" t="s">
        <v>13</v>
      </c>
      <c r="N8" s="107"/>
      <c r="O8" s="107"/>
      <c r="P8" s="107"/>
      <c r="Q8" s="107"/>
      <c r="R8" s="107"/>
      <c r="S8" s="107"/>
      <c r="T8" s="107"/>
      <c r="U8" s="107"/>
      <c r="V8" s="107"/>
      <c r="W8" s="108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</row>
    <row r="9" spans="1:46">
      <c r="A9" s="32" t="s">
        <v>1132</v>
      </c>
      <c r="B9" s="32" t="s">
        <v>5</v>
      </c>
      <c r="C9" s="27" t="s">
        <v>6</v>
      </c>
      <c r="D9" s="27" t="s">
        <v>1135</v>
      </c>
      <c r="E9" s="27" t="s">
        <v>34</v>
      </c>
      <c r="F9" s="27" t="s">
        <v>1136</v>
      </c>
      <c r="G9" s="27" t="s">
        <v>1137</v>
      </c>
      <c r="H9" s="27" t="s">
        <v>1133</v>
      </c>
      <c r="I9" s="27" t="s">
        <v>1134</v>
      </c>
      <c r="J9" s="27" t="s">
        <v>1138</v>
      </c>
      <c r="K9" s="27" t="s">
        <v>1139</v>
      </c>
      <c r="L9" s="27" t="s">
        <v>3</v>
      </c>
      <c r="M9" s="32" t="s">
        <v>1140</v>
      </c>
      <c r="N9" s="32" t="s">
        <v>1154</v>
      </c>
      <c r="O9" s="27" t="s">
        <v>1155</v>
      </c>
      <c r="P9" s="27" t="s">
        <v>1141</v>
      </c>
      <c r="Q9" s="27" t="s">
        <v>1156</v>
      </c>
      <c r="R9" s="27" t="s">
        <v>1142</v>
      </c>
      <c r="S9" s="27" t="s">
        <v>1143</v>
      </c>
      <c r="T9" s="27" t="s">
        <v>1144</v>
      </c>
      <c r="U9" s="27" t="s">
        <v>1145</v>
      </c>
      <c r="V9" s="27" t="s">
        <v>1146</v>
      </c>
      <c r="W9" s="27" t="s">
        <v>1147</v>
      </c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</row>
    <row r="10" spans="1:46">
      <c r="A10" s="83" t="s">
        <v>0</v>
      </c>
      <c r="B10" s="84" t="s">
        <v>0</v>
      </c>
      <c r="C10" s="84" t="s">
        <v>0</v>
      </c>
      <c r="D10" s="83" t="s">
        <v>0</v>
      </c>
      <c r="E10" s="85" t="s">
        <v>0</v>
      </c>
      <c r="F10" s="84" t="s">
        <v>0</v>
      </c>
      <c r="G10" s="83" t="s">
        <v>0</v>
      </c>
      <c r="H10" s="83" t="s">
        <v>0</v>
      </c>
      <c r="I10" s="83" t="s">
        <v>0</v>
      </c>
      <c r="J10" s="83" t="s">
        <v>0</v>
      </c>
      <c r="K10" s="83" t="s">
        <v>0</v>
      </c>
      <c r="L10" s="83">
        <v>256</v>
      </c>
      <c r="M10" s="83">
        <v>3</v>
      </c>
      <c r="N10" s="84">
        <v>0.2</v>
      </c>
      <c r="O10" s="84">
        <v>1.1000000000000001</v>
      </c>
      <c r="P10" s="83">
        <v>3</v>
      </c>
      <c r="Q10" s="85" t="s">
        <v>0</v>
      </c>
      <c r="R10" s="84" t="s">
        <v>0</v>
      </c>
      <c r="S10" s="83" t="s">
        <v>0</v>
      </c>
      <c r="T10" s="83" t="s">
        <v>0</v>
      </c>
      <c r="U10" s="83" t="s">
        <v>0</v>
      </c>
      <c r="V10" s="83">
        <v>10</v>
      </c>
      <c r="W10" s="83" t="s">
        <v>0</v>
      </c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</row>
    <row r="11" spans="1:46">
      <c r="A11" s="83" t="s">
        <v>0</v>
      </c>
      <c r="B11" s="84" t="s">
        <v>0</v>
      </c>
      <c r="C11" s="84" t="s">
        <v>0</v>
      </c>
      <c r="D11" s="83" t="s">
        <v>0</v>
      </c>
      <c r="E11" s="85" t="s">
        <v>0</v>
      </c>
      <c r="F11" s="84" t="s">
        <v>0</v>
      </c>
      <c r="G11" s="83" t="s">
        <v>0</v>
      </c>
      <c r="H11" s="83" t="s">
        <v>0</v>
      </c>
      <c r="I11" s="83" t="s">
        <v>0</v>
      </c>
      <c r="J11" s="83" t="s">
        <v>0</v>
      </c>
      <c r="K11" s="83" t="s">
        <v>0</v>
      </c>
      <c r="L11" s="83">
        <v>260</v>
      </c>
      <c r="M11" s="83">
        <v>3</v>
      </c>
      <c r="N11" s="84">
        <v>0.3</v>
      </c>
      <c r="O11" s="84">
        <v>1.2</v>
      </c>
      <c r="P11" s="83">
        <v>3</v>
      </c>
      <c r="Q11" s="85" t="s">
        <v>0</v>
      </c>
      <c r="R11" s="84" t="s">
        <v>0</v>
      </c>
      <c r="S11" s="83" t="s">
        <v>0</v>
      </c>
      <c r="T11" s="83" t="s">
        <v>0</v>
      </c>
      <c r="U11" s="83" t="s">
        <v>0</v>
      </c>
      <c r="V11" s="83">
        <v>13</v>
      </c>
      <c r="W11" s="83" t="s">
        <v>0</v>
      </c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</row>
    <row r="12" spans="1:46">
      <c r="A12" s="83" t="s">
        <v>0</v>
      </c>
      <c r="B12" s="84" t="s">
        <v>0</v>
      </c>
      <c r="C12" s="84" t="s">
        <v>0</v>
      </c>
      <c r="D12" s="83" t="s">
        <v>0</v>
      </c>
      <c r="E12" s="85" t="s">
        <v>0</v>
      </c>
      <c r="F12" s="84" t="s">
        <v>0</v>
      </c>
      <c r="G12" s="83" t="s">
        <v>0</v>
      </c>
      <c r="H12" s="83" t="s">
        <v>0</v>
      </c>
      <c r="I12" s="83" t="s">
        <v>0</v>
      </c>
      <c r="J12" s="83" t="s">
        <v>0</v>
      </c>
      <c r="K12" s="83" t="s">
        <v>0</v>
      </c>
      <c r="L12" s="83">
        <v>264</v>
      </c>
      <c r="M12" s="83">
        <v>3</v>
      </c>
      <c r="N12" s="84">
        <v>0.4</v>
      </c>
      <c r="O12" s="84">
        <v>1.4</v>
      </c>
      <c r="P12" s="83">
        <v>3</v>
      </c>
      <c r="Q12" s="85" t="s">
        <v>0</v>
      </c>
      <c r="R12" s="84" t="s">
        <v>0</v>
      </c>
      <c r="S12" s="83" t="s">
        <v>0</v>
      </c>
      <c r="T12" s="83" t="s">
        <v>0</v>
      </c>
      <c r="U12" s="83" t="s">
        <v>0</v>
      </c>
      <c r="V12" s="83">
        <v>32</v>
      </c>
      <c r="W12" s="83" t="s">
        <v>0</v>
      </c>
      <c r="X12" s="83"/>
      <c r="Y12" s="83"/>
      <c r="Z12" s="83"/>
      <c r="AA12" s="83"/>
      <c r="AB12" s="83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</row>
    <row r="13" spans="1:46">
      <c r="A13" s="83" t="s">
        <v>0</v>
      </c>
      <c r="B13" s="84" t="s">
        <v>0</v>
      </c>
      <c r="C13" s="84" t="s">
        <v>0</v>
      </c>
      <c r="D13" s="83" t="s">
        <v>0</v>
      </c>
      <c r="E13" s="85" t="s">
        <v>0</v>
      </c>
      <c r="F13" s="84" t="s">
        <v>0</v>
      </c>
      <c r="G13" s="83" t="s">
        <v>0</v>
      </c>
      <c r="H13" s="83" t="s">
        <v>0</v>
      </c>
      <c r="I13" s="83" t="s">
        <v>0</v>
      </c>
      <c r="J13" s="83" t="s">
        <v>0</v>
      </c>
      <c r="K13" s="83" t="s">
        <v>0</v>
      </c>
      <c r="L13" s="83">
        <v>268</v>
      </c>
      <c r="M13" s="83">
        <v>3</v>
      </c>
      <c r="N13" s="84">
        <v>0.6</v>
      </c>
      <c r="O13" s="84">
        <v>1.5</v>
      </c>
      <c r="P13" s="83">
        <v>3</v>
      </c>
      <c r="Q13" s="85" t="s">
        <v>0</v>
      </c>
      <c r="R13" s="84" t="s">
        <v>0</v>
      </c>
      <c r="S13" s="83" t="s">
        <v>0</v>
      </c>
      <c r="T13" s="83" t="s">
        <v>0</v>
      </c>
      <c r="U13" s="83" t="s">
        <v>0</v>
      </c>
      <c r="V13" s="83">
        <v>63</v>
      </c>
      <c r="W13" s="83" t="s">
        <v>0</v>
      </c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</row>
    <row r="14" spans="1:46">
      <c r="A14" s="83" t="s">
        <v>0</v>
      </c>
      <c r="B14" s="84" t="s">
        <v>0</v>
      </c>
      <c r="C14" s="84" t="s">
        <v>0</v>
      </c>
      <c r="D14" s="83" t="s">
        <v>0</v>
      </c>
      <c r="E14" s="85" t="s">
        <v>0</v>
      </c>
      <c r="F14" s="84" t="s">
        <v>0</v>
      </c>
      <c r="G14" s="83" t="s">
        <v>0</v>
      </c>
      <c r="H14" s="83" t="s">
        <v>0</v>
      </c>
      <c r="I14" s="83" t="s">
        <v>0</v>
      </c>
      <c r="J14" s="83" t="s">
        <v>0</v>
      </c>
      <c r="K14" s="83" t="s">
        <v>0</v>
      </c>
      <c r="L14" s="83">
        <v>272</v>
      </c>
      <c r="M14" s="83">
        <v>3</v>
      </c>
      <c r="N14" s="84">
        <v>0.9</v>
      </c>
      <c r="O14" s="84">
        <v>1.8</v>
      </c>
      <c r="P14" s="83">
        <v>3</v>
      </c>
      <c r="Q14" s="85" t="s">
        <v>0</v>
      </c>
      <c r="R14" s="84" t="s">
        <v>0</v>
      </c>
      <c r="S14" s="83" t="s">
        <v>0</v>
      </c>
      <c r="T14" s="83" t="s">
        <v>0</v>
      </c>
      <c r="U14" s="83" t="s">
        <v>0</v>
      </c>
      <c r="V14" s="83">
        <v>124</v>
      </c>
      <c r="W14" s="83" t="s">
        <v>0</v>
      </c>
      <c r="X14" s="83"/>
      <c r="Y14" s="83"/>
      <c r="Z14" s="83"/>
      <c r="AA14" s="83"/>
      <c r="AB14" s="83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</row>
    <row r="15" spans="1:46">
      <c r="A15" s="83" t="s">
        <v>0</v>
      </c>
      <c r="B15" s="84" t="s">
        <v>0</v>
      </c>
      <c r="C15" s="84" t="s">
        <v>0</v>
      </c>
      <c r="D15" s="83" t="s">
        <v>0</v>
      </c>
      <c r="E15" s="85" t="s">
        <v>0</v>
      </c>
      <c r="F15" s="84" t="s">
        <v>0</v>
      </c>
      <c r="G15" s="83" t="s">
        <v>0</v>
      </c>
      <c r="H15" s="83" t="s">
        <v>0</v>
      </c>
      <c r="I15" s="83" t="s">
        <v>0</v>
      </c>
      <c r="J15" s="83" t="s">
        <v>0</v>
      </c>
      <c r="K15" s="83" t="s">
        <v>0</v>
      </c>
      <c r="L15" s="83">
        <v>276</v>
      </c>
      <c r="M15" s="83">
        <v>2</v>
      </c>
      <c r="N15" s="84">
        <v>1.2</v>
      </c>
      <c r="O15" s="84">
        <v>2</v>
      </c>
      <c r="P15" s="83">
        <v>3</v>
      </c>
      <c r="Q15" s="85">
        <v>1.2</v>
      </c>
      <c r="R15" s="86">
        <v>-0.29409999999999997</v>
      </c>
      <c r="S15" s="83">
        <v>1</v>
      </c>
      <c r="T15" s="83">
        <v>1.2</v>
      </c>
      <c r="U15" s="83">
        <v>15.6</v>
      </c>
      <c r="V15" s="83">
        <v>172</v>
      </c>
      <c r="W15" s="83">
        <v>-7.2999999999999995E-2</v>
      </c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</row>
    <row r="16" spans="1:46">
      <c r="A16" s="83" t="s">
        <v>0</v>
      </c>
      <c r="B16" s="84" t="s">
        <v>0</v>
      </c>
      <c r="C16" s="84" t="s">
        <v>0</v>
      </c>
      <c r="D16" s="83" t="s">
        <v>0</v>
      </c>
      <c r="E16" s="85" t="s">
        <v>0</v>
      </c>
      <c r="F16" s="84" t="s">
        <v>0</v>
      </c>
      <c r="G16" s="83" t="s">
        <v>0</v>
      </c>
      <c r="H16" s="83" t="s">
        <v>0</v>
      </c>
      <c r="I16" s="83" t="s">
        <v>0</v>
      </c>
      <c r="J16" s="83" t="s">
        <v>0</v>
      </c>
      <c r="K16" s="83" t="s">
        <v>0</v>
      </c>
      <c r="L16" s="83">
        <v>280</v>
      </c>
      <c r="M16" s="83">
        <v>3</v>
      </c>
      <c r="N16" s="84">
        <v>1.6</v>
      </c>
      <c r="O16" s="84">
        <v>2.5</v>
      </c>
      <c r="P16" s="83">
        <v>8</v>
      </c>
      <c r="Q16" s="85" t="s">
        <v>0</v>
      </c>
      <c r="R16" s="84" t="s">
        <v>0</v>
      </c>
      <c r="S16" s="83" t="s">
        <v>0</v>
      </c>
      <c r="T16" s="83">
        <v>2.1</v>
      </c>
      <c r="U16" s="83" t="s">
        <v>0</v>
      </c>
      <c r="V16" s="83">
        <v>271</v>
      </c>
      <c r="W16" s="83" t="s">
        <v>0</v>
      </c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</row>
    <row r="17" spans="1:46">
      <c r="A17" s="83" t="s">
        <v>0</v>
      </c>
      <c r="B17" s="84" t="s">
        <v>0</v>
      </c>
      <c r="C17" s="84" t="s">
        <v>0</v>
      </c>
      <c r="D17" s="83" t="s">
        <v>0</v>
      </c>
      <c r="E17" s="85"/>
      <c r="F17" s="84" t="s">
        <v>0</v>
      </c>
      <c r="G17" s="83" t="s">
        <v>0</v>
      </c>
      <c r="H17" s="83" t="s">
        <v>0</v>
      </c>
      <c r="I17" s="83" t="s">
        <v>0</v>
      </c>
      <c r="J17" s="83">
        <v>0</v>
      </c>
      <c r="K17" s="83" t="s">
        <v>0</v>
      </c>
      <c r="L17" s="83">
        <v>284</v>
      </c>
      <c r="M17" s="83">
        <v>3</v>
      </c>
      <c r="N17" s="84">
        <v>2.1</v>
      </c>
      <c r="O17" s="84">
        <v>2.5</v>
      </c>
      <c r="P17" s="83">
        <v>5</v>
      </c>
      <c r="Q17" s="85">
        <v>2.4</v>
      </c>
      <c r="R17" s="86">
        <v>-0.2</v>
      </c>
      <c r="S17" s="83">
        <v>1</v>
      </c>
      <c r="T17" s="83">
        <v>2.4</v>
      </c>
      <c r="U17" s="83">
        <v>16.239999999999998</v>
      </c>
      <c r="V17" s="83">
        <v>250</v>
      </c>
      <c r="W17" s="83">
        <v>-0.126</v>
      </c>
      <c r="X17" s="83"/>
      <c r="Y17" s="83"/>
      <c r="Z17" s="83"/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</row>
    <row r="18" spans="1:46">
      <c r="A18" s="83" t="s">
        <v>0</v>
      </c>
      <c r="B18" s="84" t="s">
        <v>0</v>
      </c>
      <c r="C18" s="84" t="s">
        <v>0</v>
      </c>
      <c r="D18" s="83" t="s">
        <v>0</v>
      </c>
      <c r="E18" s="85"/>
      <c r="F18" s="84" t="s">
        <v>0</v>
      </c>
      <c r="G18" s="83" t="s">
        <v>0</v>
      </c>
      <c r="H18" s="83" t="s">
        <v>0</v>
      </c>
      <c r="I18" s="83" t="s">
        <v>0</v>
      </c>
      <c r="J18" s="83">
        <v>10</v>
      </c>
      <c r="K18" s="83" t="s">
        <v>0</v>
      </c>
      <c r="L18" s="83">
        <v>288</v>
      </c>
      <c r="M18" s="83">
        <v>3</v>
      </c>
      <c r="N18" s="84">
        <v>2.7</v>
      </c>
      <c r="O18" s="84">
        <v>3.6</v>
      </c>
      <c r="P18" s="83">
        <v>3</v>
      </c>
      <c r="Q18" s="85">
        <v>3.1</v>
      </c>
      <c r="R18" s="86">
        <v>3.3300000000000003E-2</v>
      </c>
      <c r="S18" s="83">
        <v>5</v>
      </c>
      <c r="T18" s="83">
        <v>3.1</v>
      </c>
      <c r="U18" s="83">
        <v>16.309999999999999</v>
      </c>
      <c r="V18" s="83">
        <v>237</v>
      </c>
      <c r="W18" s="83">
        <v>-0.154</v>
      </c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</row>
    <row r="19" spans="1:46">
      <c r="A19" s="83" t="s">
        <v>0</v>
      </c>
      <c r="B19" s="84" t="s">
        <v>0</v>
      </c>
      <c r="C19" s="84" t="s">
        <v>0</v>
      </c>
      <c r="D19" s="83" t="s">
        <v>0</v>
      </c>
      <c r="E19" s="85"/>
      <c r="F19" s="84" t="s">
        <v>0</v>
      </c>
      <c r="G19" s="83" t="s">
        <v>0</v>
      </c>
      <c r="H19" s="83" t="s">
        <v>0</v>
      </c>
      <c r="I19" s="83" t="s">
        <v>0</v>
      </c>
      <c r="J19" s="83">
        <v>0</v>
      </c>
      <c r="K19" s="83" t="s">
        <v>0</v>
      </c>
      <c r="L19" s="83">
        <v>292</v>
      </c>
      <c r="M19" s="83">
        <v>3</v>
      </c>
      <c r="N19" s="84">
        <v>3.4</v>
      </c>
      <c r="O19" s="84">
        <v>4.3</v>
      </c>
      <c r="P19" s="83">
        <v>3</v>
      </c>
      <c r="Q19" s="85" t="s">
        <v>0</v>
      </c>
      <c r="R19" s="84" t="s">
        <v>0</v>
      </c>
      <c r="S19" s="83" t="s">
        <v>0</v>
      </c>
      <c r="T19" s="83">
        <v>4.7</v>
      </c>
      <c r="U19" s="83" t="s">
        <v>0</v>
      </c>
      <c r="V19" s="83">
        <v>276</v>
      </c>
      <c r="W19" s="83" t="s">
        <v>0</v>
      </c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4"/>
      <c r="AS19" s="84"/>
      <c r="AT19" s="84"/>
    </row>
    <row r="20" spans="1:46">
      <c r="A20" s="83" t="s">
        <v>0</v>
      </c>
      <c r="B20" s="84" t="s">
        <v>0</v>
      </c>
      <c r="C20" s="84" t="s">
        <v>0</v>
      </c>
      <c r="D20" s="83" t="s">
        <v>0</v>
      </c>
      <c r="E20" s="85"/>
      <c r="F20" s="84" t="s">
        <v>0</v>
      </c>
      <c r="G20" s="83" t="s">
        <v>0</v>
      </c>
      <c r="H20" s="83" t="s">
        <v>0</v>
      </c>
      <c r="I20" s="83" t="s">
        <v>0</v>
      </c>
      <c r="J20" s="83">
        <v>0</v>
      </c>
      <c r="K20" s="83" t="s">
        <v>0</v>
      </c>
      <c r="L20" s="83">
        <v>296</v>
      </c>
      <c r="M20" s="83">
        <v>3</v>
      </c>
      <c r="N20" s="84">
        <v>4.5999999999999996</v>
      </c>
      <c r="O20" s="84">
        <v>5</v>
      </c>
      <c r="P20" s="83">
        <v>2</v>
      </c>
      <c r="Q20" s="85">
        <v>4.5999999999999996</v>
      </c>
      <c r="R20" s="86">
        <v>-0.08</v>
      </c>
      <c r="S20" s="83">
        <v>2</v>
      </c>
      <c r="T20" s="83">
        <v>4.5999999999999996</v>
      </c>
      <c r="U20" s="83">
        <v>15.96</v>
      </c>
      <c r="V20" s="83">
        <v>282</v>
      </c>
      <c r="W20" s="83">
        <v>-0.21299999999999999</v>
      </c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4"/>
      <c r="AS20" s="84"/>
      <c r="AT20" s="84"/>
    </row>
    <row r="21" spans="1:46">
      <c r="A21" s="83" t="s">
        <v>0</v>
      </c>
      <c r="B21" s="84" t="s">
        <v>0</v>
      </c>
      <c r="C21" s="84" t="s">
        <v>0</v>
      </c>
      <c r="D21" s="83" t="s">
        <v>0</v>
      </c>
      <c r="E21" s="85"/>
      <c r="F21" s="84" t="s">
        <v>0</v>
      </c>
      <c r="G21" s="83" t="s">
        <v>0</v>
      </c>
      <c r="H21" s="83" t="s">
        <v>0</v>
      </c>
      <c r="I21" s="83" t="s">
        <v>0</v>
      </c>
      <c r="J21" s="83">
        <v>4</v>
      </c>
      <c r="K21" s="83" t="s">
        <v>0</v>
      </c>
      <c r="L21" s="83">
        <v>300</v>
      </c>
      <c r="M21" s="83">
        <v>5</v>
      </c>
      <c r="N21" s="84">
        <v>5.5</v>
      </c>
      <c r="O21" s="84">
        <v>6.2</v>
      </c>
      <c r="P21" s="83">
        <v>3</v>
      </c>
      <c r="Q21" s="85">
        <v>6.3</v>
      </c>
      <c r="R21" s="86">
        <v>-7.3499999999999996E-2</v>
      </c>
      <c r="S21" s="83">
        <v>32</v>
      </c>
      <c r="T21" s="83">
        <v>6.3</v>
      </c>
      <c r="U21" s="83">
        <v>16.829999999999998</v>
      </c>
      <c r="V21" s="83">
        <v>542</v>
      </c>
      <c r="W21" s="83">
        <v>-0.25900000000000001</v>
      </c>
      <c r="X21" s="83"/>
      <c r="Y21" s="83"/>
      <c r="Z21" s="83"/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</row>
    <row r="22" spans="1:46">
      <c r="A22" s="83" t="s">
        <v>0</v>
      </c>
      <c r="B22" s="84" t="s">
        <v>0</v>
      </c>
      <c r="C22" s="84" t="s">
        <v>0</v>
      </c>
      <c r="D22" s="83" t="s">
        <v>0</v>
      </c>
      <c r="E22" s="85"/>
      <c r="F22" s="84" t="s">
        <v>0</v>
      </c>
      <c r="G22" s="83" t="s">
        <v>0</v>
      </c>
      <c r="H22" s="83" t="s">
        <v>0</v>
      </c>
      <c r="I22" s="83" t="s">
        <v>0</v>
      </c>
      <c r="J22" s="83">
        <v>3</v>
      </c>
      <c r="K22" s="83" t="s">
        <v>0</v>
      </c>
      <c r="L22" s="83">
        <v>304</v>
      </c>
      <c r="M22" s="83">
        <v>3</v>
      </c>
      <c r="N22" s="84">
        <v>6.5</v>
      </c>
      <c r="O22" s="84">
        <v>8</v>
      </c>
      <c r="P22" s="83">
        <v>1</v>
      </c>
      <c r="Q22" s="85" t="s">
        <v>0</v>
      </c>
      <c r="R22" s="84" t="s">
        <v>0</v>
      </c>
      <c r="S22" s="83" t="s">
        <v>0</v>
      </c>
      <c r="T22" s="83" t="s">
        <v>0</v>
      </c>
      <c r="U22" s="83" t="s">
        <v>0</v>
      </c>
      <c r="V22" s="83">
        <v>76</v>
      </c>
      <c r="W22" s="83" t="s">
        <v>0</v>
      </c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</row>
    <row r="23" spans="1:46">
      <c r="A23" s="83">
        <v>1</v>
      </c>
      <c r="B23" s="84">
        <v>18</v>
      </c>
      <c r="C23" s="84" t="s">
        <v>0</v>
      </c>
      <c r="D23" s="83" t="s">
        <v>0</v>
      </c>
      <c r="E23" s="85"/>
      <c r="F23" s="84" t="s">
        <v>0</v>
      </c>
      <c r="G23" s="83" t="s">
        <v>0</v>
      </c>
      <c r="H23" s="83" t="s">
        <v>0</v>
      </c>
      <c r="I23" s="83" t="s">
        <v>0</v>
      </c>
      <c r="J23" s="83">
        <v>43</v>
      </c>
      <c r="K23" s="83" t="s">
        <v>0</v>
      </c>
      <c r="L23" s="83">
        <v>308</v>
      </c>
      <c r="M23" s="83">
        <v>1</v>
      </c>
      <c r="N23" s="84">
        <v>7</v>
      </c>
      <c r="O23" s="84" t="s">
        <v>0</v>
      </c>
      <c r="P23" s="83" t="s">
        <v>0</v>
      </c>
      <c r="Q23" s="85" t="s">
        <v>0</v>
      </c>
      <c r="R23" s="84" t="s">
        <v>0</v>
      </c>
      <c r="S23" s="83" t="s">
        <v>0</v>
      </c>
      <c r="T23" s="83">
        <v>9.5</v>
      </c>
      <c r="U23" s="83" t="s">
        <v>0</v>
      </c>
      <c r="V23" s="83">
        <v>140</v>
      </c>
      <c r="W23" s="83" t="s">
        <v>0</v>
      </c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4"/>
      <c r="AS23" s="84"/>
      <c r="AT23" s="84"/>
    </row>
    <row r="24" spans="1:46">
      <c r="A24" s="83">
        <v>1</v>
      </c>
      <c r="B24" s="84">
        <v>13.2</v>
      </c>
      <c r="C24" s="84" t="s">
        <v>0</v>
      </c>
      <c r="D24" s="83" t="s">
        <v>0</v>
      </c>
      <c r="E24" s="85"/>
      <c r="F24" s="84" t="s">
        <v>0</v>
      </c>
      <c r="G24" s="83" t="s">
        <v>0</v>
      </c>
      <c r="H24" s="83" t="s">
        <v>0</v>
      </c>
      <c r="I24" s="83" t="s">
        <v>0</v>
      </c>
      <c r="J24" s="83">
        <v>111</v>
      </c>
      <c r="K24" s="83" t="s">
        <v>0</v>
      </c>
      <c r="L24" s="83">
        <v>316</v>
      </c>
      <c r="M24" s="83">
        <v>1</v>
      </c>
      <c r="N24" s="84">
        <v>8.9</v>
      </c>
      <c r="O24" s="84" t="s">
        <v>0</v>
      </c>
      <c r="P24" s="83" t="s">
        <v>0</v>
      </c>
      <c r="Q24" s="85" t="s">
        <v>0</v>
      </c>
      <c r="R24" s="84" t="s">
        <v>0</v>
      </c>
      <c r="S24" s="83" t="s">
        <v>0</v>
      </c>
      <c r="T24" s="83" t="s">
        <v>0</v>
      </c>
      <c r="U24" s="83" t="s">
        <v>0</v>
      </c>
      <c r="V24" s="83">
        <v>31</v>
      </c>
      <c r="W24" s="83" t="s">
        <v>0</v>
      </c>
      <c r="X24" s="83"/>
      <c r="Y24" s="83"/>
      <c r="Z24" s="83"/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</row>
    <row r="25" spans="1:46">
      <c r="A25" s="83">
        <v>1</v>
      </c>
      <c r="B25" s="84">
        <v>11.2</v>
      </c>
      <c r="C25" s="84">
        <v>17.2</v>
      </c>
      <c r="D25" s="83">
        <v>1</v>
      </c>
      <c r="E25" s="85"/>
      <c r="F25" s="84" t="s">
        <v>0</v>
      </c>
      <c r="G25" s="83"/>
      <c r="H25" s="83" t="s">
        <v>0</v>
      </c>
      <c r="I25" s="83" t="s">
        <v>0</v>
      </c>
      <c r="J25" s="83">
        <v>528</v>
      </c>
      <c r="K25" s="83" t="s">
        <v>0</v>
      </c>
      <c r="L25" s="83">
        <v>320</v>
      </c>
      <c r="M25" s="83">
        <v>1</v>
      </c>
      <c r="N25" s="84">
        <v>10.8</v>
      </c>
      <c r="O25" s="84">
        <v>17.3</v>
      </c>
      <c r="P25" s="83">
        <v>1</v>
      </c>
      <c r="Q25" s="85" t="s">
        <v>0</v>
      </c>
      <c r="R25" s="84" t="s">
        <v>0</v>
      </c>
      <c r="S25" s="83" t="s">
        <v>0</v>
      </c>
      <c r="T25" s="83" t="s">
        <v>0</v>
      </c>
      <c r="U25" s="83" t="s">
        <v>0</v>
      </c>
      <c r="V25" s="83">
        <v>42</v>
      </c>
      <c r="W25" s="83" t="s">
        <v>0</v>
      </c>
      <c r="X25" s="83"/>
      <c r="Y25" s="83"/>
      <c r="Z25" s="83"/>
      <c r="AA25" s="83"/>
      <c r="AB25" s="83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</row>
    <row r="26" spans="1:46">
      <c r="A26" s="83">
        <v>3</v>
      </c>
      <c r="B26" s="84">
        <v>10.5</v>
      </c>
      <c r="C26" s="84">
        <v>12</v>
      </c>
      <c r="D26" s="83">
        <v>3</v>
      </c>
      <c r="E26" s="85">
        <v>11</v>
      </c>
      <c r="F26" s="86">
        <v>0.15790000000000001</v>
      </c>
      <c r="G26" s="83">
        <v>23</v>
      </c>
      <c r="H26" s="83">
        <v>11</v>
      </c>
      <c r="I26" s="83">
        <v>15.45</v>
      </c>
      <c r="J26" s="83">
        <v>258</v>
      </c>
      <c r="K26" s="83">
        <v>0.44800000000000001</v>
      </c>
      <c r="L26" s="83">
        <v>328</v>
      </c>
      <c r="M26" s="83">
        <v>1</v>
      </c>
      <c r="N26" s="84">
        <v>15.1</v>
      </c>
      <c r="O26" s="84" t="s">
        <v>0</v>
      </c>
      <c r="P26" s="83" t="s">
        <v>0</v>
      </c>
      <c r="Q26" s="85" t="s">
        <v>0</v>
      </c>
      <c r="R26" s="84" t="s">
        <v>0</v>
      </c>
      <c r="S26" s="83" t="s">
        <v>0</v>
      </c>
      <c r="T26" s="83" t="s">
        <v>0</v>
      </c>
      <c r="U26" s="83" t="s">
        <v>0</v>
      </c>
      <c r="V26" s="83">
        <v>0</v>
      </c>
      <c r="W26" s="83" t="s">
        <v>0</v>
      </c>
      <c r="X26" s="83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</row>
    <row r="27" spans="1:46">
      <c r="A27" s="83">
        <v>3</v>
      </c>
      <c r="B27" s="84">
        <v>9.1</v>
      </c>
      <c r="C27" s="84">
        <v>10.6</v>
      </c>
      <c r="D27" s="83">
        <v>3</v>
      </c>
      <c r="E27" s="85"/>
      <c r="F27" s="84" t="s">
        <v>0</v>
      </c>
      <c r="G27" s="83"/>
      <c r="H27" s="83">
        <v>7.7</v>
      </c>
      <c r="I27" s="83" t="s">
        <v>0</v>
      </c>
      <c r="J27" s="83">
        <v>348</v>
      </c>
      <c r="K27" s="83" t="s">
        <v>0</v>
      </c>
      <c r="L27" s="83">
        <v>332</v>
      </c>
      <c r="M27" s="83" t="s">
        <v>0</v>
      </c>
      <c r="N27" s="84" t="s">
        <v>0</v>
      </c>
      <c r="O27" s="84" t="s">
        <v>0</v>
      </c>
      <c r="P27" s="83" t="s">
        <v>0</v>
      </c>
      <c r="Q27" s="85" t="s">
        <v>0</v>
      </c>
      <c r="R27" s="84" t="s">
        <v>0</v>
      </c>
      <c r="S27" s="83" t="s">
        <v>0</v>
      </c>
      <c r="T27" s="83" t="s">
        <v>0</v>
      </c>
      <c r="U27" s="83" t="s">
        <v>0</v>
      </c>
      <c r="V27" s="83">
        <v>0</v>
      </c>
      <c r="W27" s="83" t="s">
        <v>0</v>
      </c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</row>
    <row r="28" spans="1:46">
      <c r="A28" s="83">
        <v>3</v>
      </c>
      <c r="B28" s="84">
        <v>7.7</v>
      </c>
      <c r="C28" s="84">
        <v>8.4</v>
      </c>
      <c r="D28" s="83">
        <v>1</v>
      </c>
      <c r="E28" s="85">
        <v>8.4</v>
      </c>
      <c r="F28" s="86">
        <v>0.25369999999999998</v>
      </c>
      <c r="G28" s="83">
        <v>3</v>
      </c>
      <c r="H28" s="83">
        <v>8.4</v>
      </c>
      <c r="I28" s="83">
        <v>15.81</v>
      </c>
      <c r="J28" s="83">
        <v>209</v>
      </c>
      <c r="K28" s="83">
        <v>0.36599999999999999</v>
      </c>
      <c r="L28" s="83">
        <v>336</v>
      </c>
      <c r="M28" s="83" t="s">
        <v>0</v>
      </c>
      <c r="N28" s="84" t="s">
        <v>0</v>
      </c>
      <c r="O28" s="84" t="s">
        <v>0</v>
      </c>
      <c r="P28" s="83" t="s">
        <v>0</v>
      </c>
      <c r="Q28" s="85" t="s">
        <v>0</v>
      </c>
      <c r="R28" s="84" t="s">
        <v>0</v>
      </c>
      <c r="S28" s="83" t="s">
        <v>0</v>
      </c>
      <c r="T28" s="83" t="s">
        <v>0</v>
      </c>
      <c r="U28" s="83" t="s">
        <v>0</v>
      </c>
      <c r="V28" s="83">
        <v>3</v>
      </c>
      <c r="W28" s="83" t="s">
        <v>0</v>
      </c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</row>
    <row r="29" spans="1:46">
      <c r="A29" s="83">
        <v>3</v>
      </c>
      <c r="B29" s="84">
        <v>6.6</v>
      </c>
      <c r="C29" s="84">
        <v>7.4</v>
      </c>
      <c r="D29" s="83">
        <v>3</v>
      </c>
      <c r="E29" s="85"/>
      <c r="F29" s="84" t="s">
        <v>0</v>
      </c>
      <c r="G29" s="83"/>
      <c r="H29" s="83">
        <v>6</v>
      </c>
      <c r="I29" s="83" t="s">
        <v>0</v>
      </c>
      <c r="J29" s="83">
        <v>814</v>
      </c>
      <c r="K29" s="83" t="s">
        <v>0</v>
      </c>
      <c r="L29" s="83">
        <v>340</v>
      </c>
      <c r="M29" s="83" t="s">
        <v>0</v>
      </c>
      <c r="N29" s="84" t="s">
        <v>0</v>
      </c>
      <c r="O29" s="84" t="s">
        <v>0</v>
      </c>
      <c r="P29" s="83" t="s">
        <v>0</v>
      </c>
      <c r="Q29" s="85" t="s">
        <v>0</v>
      </c>
      <c r="R29" s="84" t="s">
        <v>0</v>
      </c>
      <c r="S29" s="83" t="s">
        <v>0</v>
      </c>
      <c r="T29" s="83" t="s">
        <v>0</v>
      </c>
      <c r="U29" s="83" t="s">
        <v>0</v>
      </c>
      <c r="V29" s="83">
        <v>0</v>
      </c>
      <c r="W29" s="83" t="s">
        <v>0</v>
      </c>
    </row>
    <row r="30" spans="1:46">
      <c r="A30" s="83">
        <v>1</v>
      </c>
      <c r="B30" s="84">
        <v>5.8</v>
      </c>
      <c r="C30" s="84">
        <v>6.5</v>
      </c>
      <c r="D30" s="83">
        <v>3</v>
      </c>
      <c r="E30" s="85">
        <v>5.5</v>
      </c>
      <c r="F30" s="86">
        <v>0.1</v>
      </c>
      <c r="G30" s="83">
        <v>15</v>
      </c>
      <c r="H30" s="83">
        <v>5.5</v>
      </c>
      <c r="I30" s="83">
        <v>15.03</v>
      </c>
      <c r="J30" s="83">
        <v>205</v>
      </c>
      <c r="K30" s="83">
        <v>0.27800000000000002</v>
      </c>
      <c r="L30" s="83">
        <v>344</v>
      </c>
      <c r="M30" s="83" t="s">
        <v>0</v>
      </c>
      <c r="N30" s="84" t="s">
        <v>0</v>
      </c>
      <c r="O30" s="84" t="s">
        <v>0</v>
      </c>
      <c r="P30" s="83" t="s">
        <v>0</v>
      </c>
      <c r="Q30" s="85" t="s">
        <v>0</v>
      </c>
      <c r="R30" s="84" t="s">
        <v>0</v>
      </c>
      <c r="S30" s="83" t="s">
        <v>0</v>
      </c>
      <c r="T30" s="83" t="s">
        <v>0</v>
      </c>
      <c r="U30" s="83" t="s">
        <v>0</v>
      </c>
      <c r="V30" s="83" t="s">
        <v>0</v>
      </c>
      <c r="W30" s="83" t="s">
        <v>0</v>
      </c>
    </row>
    <row r="31" spans="1:46">
      <c r="A31" s="83">
        <v>3</v>
      </c>
      <c r="B31" s="84">
        <v>4.5999999999999996</v>
      </c>
      <c r="C31" s="84">
        <v>5.2</v>
      </c>
      <c r="D31" s="83">
        <v>5</v>
      </c>
      <c r="E31" s="85">
        <v>5.2</v>
      </c>
      <c r="F31" s="86">
        <v>0.3</v>
      </c>
      <c r="G31" s="83">
        <v>30</v>
      </c>
      <c r="H31" s="83">
        <v>5.2</v>
      </c>
      <c r="I31" s="83">
        <v>15.88</v>
      </c>
      <c r="J31" s="83">
        <v>319</v>
      </c>
      <c r="K31" s="83">
        <v>0.25600000000000001</v>
      </c>
      <c r="L31" s="83">
        <v>348</v>
      </c>
      <c r="M31" s="83" t="s">
        <v>0</v>
      </c>
      <c r="N31" s="84" t="s">
        <v>0</v>
      </c>
      <c r="O31" s="84" t="s">
        <v>0</v>
      </c>
      <c r="P31" s="83" t="s">
        <v>0</v>
      </c>
      <c r="Q31" s="85" t="s">
        <v>0</v>
      </c>
      <c r="R31" s="84" t="s">
        <v>0</v>
      </c>
      <c r="S31" s="83" t="s">
        <v>0</v>
      </c>
      <c r="T31" s="83" t="s">
        <v>0</v>
      </c>
      <c r="U31" s="83" t="s">
        <v>0</v>
      </c>
      <c r="V31" s="83" t="s">
        <v>0</v>
      </c>
      <c r="W31" s="83" t="s">
        <v>0</v>
      </c>
    </row>
    <row r="32" spans="1:46">
      <c r="A32" s="83">
        <v>3</v>
      </c>
      <c r="B32" s="84">
        <v>3.9</v>
      </c>
      <c r="C32" s="84">
        <v>4.9000000000000004</v>
      </c>
      <c r="D32" s="83">
        <v>3</v>
      </c>
      <c r="E32" s="85"/>
      <c r="F32" s="84" t="s">
        <v>0</v>
      </c>
      <c r="G32" s="83"/>
      <c r="H32" s="83">
        <v>3.3</v>
      </c>
      <c r="I32" s="83" t="s">
        <v>0</v>
      </c>
      <c r="J32" s="83">
        <v>405</v>
      </c>
      <c r="K32" s="83" t="s">
        <v>0</v>
      </c>
      <c r="L32" s="83">
        <v>352</v>
      </c>
      <c r="M32" s="83" t="s">
        <v>0</v>
      </c>
      <c r="N32" s="84" t="s">
        <v>0</v>
      </c>
      <c r="O32" s="84" t="s">
        <v>0</v>
      </c>
      <c r="P32" s="83" t="s">
        <v>0</v>
      </c>
      <c r="Q32" s="85" t="s">
        <v>0</v>
      </c>
      <c r="R32" s="84" t="s">
        <v>0</v>
      </c>
      <c r="S32" s="83" t="s">
        <v>0</v>
      </c>
      <c r="T32" s="83" t="s">
        <v>0</v>
      </c>
      <c r="U32" s="83" t="s">
        <v>0</v>
      </c>
      <c r="V32" s="83" t="s">
        <v>0</v>
      </c>
      <c r="W32" s="83" t="s">
        <v>0</v>
      </c>
    </row>
    <row r="33" spans="1:43">
      <c r="A33" s="83">
        <v>3</v>
      </c>
      <c r="B33" s="84">
        <v>3.2</v>
      </c>
      <c r="C33" s="84">
        <v>3.9</v>
      </c>
      <c r="D33" s="83">
        <v>5</v>
      </c>
      <c r="E33" s="85">
        <v>3.1</v>
      </c>
      <c r="F33" s="86">
        <v>-8.8200000000000001E-2</v>
      </c>
      <c r="G33" s="83">
        <v>3</v>
      </c>
      <c r="H33" s="83">
        <v>3.1</v>
      </c>
      <c r="I33" s="83">
        <v>14.95</v>
      </c>
      <c r="J33" s="83">
        <v>125</v>
      </c>
      <c r="K33" s="83">
        <v>0.17799999999999999</v>
      </c>
      <c r="L33" s="83">
        <v>356</v>
      </c>
      <c r="M33" s="83" t="s">
        <v>0</v>
      </c>
      <c r="N33" s="84" t="s">
        <v>0</v>
      </c>
      <c r="O33" s="84" t="s">
        <v>0</v>
      </c>
      <c r="P33" s="83" t="s">
        <v>0</v>
      </c>
      <c r="Q33" s="85" t="s">
        <v>0</v>
      </c>
      <c r="R33" s="84" t="s">
        <v>0</v>
      </c>
      <c r="S33" s="83" t="s">
        <v>0</v>
      </c>
      <c r="T33" s="83" t="s">
        <v>0</v>
      </c>
      <c r="U33" s="83" t="s">
        <v>0</v>
      </c>
      <c r="V33" s="83" t="s">
        <v>0</v>
      </c>
      <c r="W33" s="83" t="s">
        <v>0</v>
      </c>
      <c r="X33" s="83"/>
      <c r="Y33" s="85"/>
      <c r="Z33" s="84"/>
      <c r="AA33" s="83"/>
      <c r="AB33" s="83"/>
      <c r="AC33" s="83"/>
      <c r="AD33" s="83"/>
      <c r="AE33" s="83"/>
      <c r="AF33" s="83"/>
      <c r="AG33" s="83"/>
      <c r="AH33" s="84"/>
      <c r="AI33" s="84"/>
      <c r="AJ33" s="83"/>
      <c r="AK33" s="85"/>
      <c r="AL33" s="84"/>
      <c r="AM33" s="83"/>
      <c r="AN33" s="83"/>
      <c r="AO33" s="83"/>
      <c r="AP33" s="83"/>
      <c r="AQ33" s="83"/>
    </row>
    <row r="34" spans="1:43">
      <c r="A34" s="83">
        <v>3</v>
      </c>
      <c r="B34" s="84">
        <v>2.6</v>
      </c>
      <c r="C34" s="84">
        <v>3</v>
      </c>
      <c r="D34" s="83">
        <v>6</v>
      </c>
      <c r="E34" s="85">
        <v>2.9</v>
      </c>
      <c r="F34" s="86">
        <v>0.20830000000000001</v>
      </c>
      <c r="G34" s="83">
        <v>32</v>
      </c>
      <c r="H34" s="83">
        <v>2.9</v>
      </c>
      <c r="I34" s="83">
        <v>15.62</v>
      </c>
      <c r="J34" s="83">
        <v>311</v>
      </c>
      <c r="K34" s="83">
        <v>0.16400000000000001</v>
      </c>
      <c r="L34" s="83">
        <v>360</v>
      </c>
      <c r="M34" s="83" t="s">
        <v>0</v>
      </c>
      <c r="N34" s="84" t="s">
        <v>0</v>
      </c>
      <c r="O34" s="84" t="s">
        <v>0</v>
      </c>
      <c r="P34" s="83" t="s">
        <v>0</v>
      </c>
      <c r="Q34" s="85" t="s">
        <v>0</v>
      </c>
      <c r="R34" s="84" t="s">
        <v>0</v>
      </c>
      <c r="S34" s="83" t="s">
        <v>0</v>
      </c>
      <c r="T34" s="83" t="s">
        <v>0</v>
      </c>
      <c r="U34" s="83" t="s">
        <v>0</v>
      </c>
      <c r="V34" s="83" t="s">
        <v>0</v>
      </c>
      <c r="W34" s="83" t="s">
        <v>0</v>
      </c>
      <c r="X34" s="83"/>
      <c r="Y34" s="85"/>
      <c r="Z34" s="84"/>
      <c r="AA34" s="83"/>
      <c r="AB34" s="83"/>
      <c r="AC34" s="83"/>
      <c r="AD34" s="83"/>
      <c r="AE34" s="83"/>
      <c r="AF34" s="83"/>
      <c r="AG34" s="83"/>
      <c r="AH34" s="84"/>
      <c r="AI34" s="84"/>
      <c r="AJ34" s="83"/>
      <c r="AK34" s="85"/>
      <c r="AL34" s="84"/>
      <c r="AM34" s="83"/>
      <c r="AN34" s="83"/>
      <c r="AO34" s="83"/>
      <c r="AP34" s="83"/>
      <c r="AQ34" s="83"/>
    </row>
    <row r="35" spans="1:43">
      <c r="A35" s="83">
        <v>3</v>
      </c>
      <c r="B35" s="84">
        <v>2.2000000000000002</v>
      </c>
      <c r="C35" s="84">
        <v>3.2</v>
      </c>
      <c r="D35" s="83">
        <v>3</v>
      </c>
      <c r="E35" s="85">
        <v>2.1</v>
      </c>
      <c r="F35" s="86">
        <v>-4.5499999999999999E-2</v>
      </c>
      <c r="G35" s="83">
        <v>1</v>
      </c>
      <c r="H35" s="83">
        <v>2.1</v>
      </c>
      <c r="I35" s="83">
        <v>15.02</v>
      </c>
      <c r="J35" s="83">
        <v>133</v>
      </c>
      <c r="K35" s="83">
        <v>0.13</v>
      </c>
      <c r="L35" s="83">
        <v>364</v>
      </c>
      <c r="M35" s="83" t="s">
        <v>0</v>
      </c>
      <c r="N35" s="84" t="s">
        <v>0</v>
      </c>
      <c r="O35" s="84" t="s">
        <v>0</v>
      </c>
      <c r="P35" s="83" t="s">
        <v>0</v>
      </c>
      <c r="Q35" s="85" t="s">
        <v>0</v>
      </c>
      <c r="R35" s="84" t="s">
        <v>0</v>
      </c>
      <c r="S35" s="83" t="s">
        <v>0</v>
      </c>
      <c r="T35" s="83" t="s">
        <v>0</v>
      </c>
      <c r="U35" s="83" t="s">
        <v>0</v>
      </c>
      <c r="V35" s="83" t="s">
        <v>0</v>
      </c>
      <c r="W35" s="83" t="s">
        <v>0</v>
      </c>
      <c r="X35" s="83"/>
      <c r="Y35" s="85"/>
      <c r="Z35" s="84"/>
      <c r="AA35" s="83"/>
      <c r="AB35" s="83"/>
      <c r="AC35" s="83"/>
      <c r="AD35" s="83"/>
      <c r="AE35" s="83"/>
      <c r="AF35" s="83"/>
      <c r="AG35" s="83"/>
      <c r="AH35" s="84"/>
      <c r="AI35" s="84"/>
      <c r="AJ35" s="83"/>
      <c r="AK35" s="85"/>
      <c r="AL35" s="84"/>
      <c r="AM35" s="83"/>
      <c r="AN35" s="83"/>
      <c r="AO35" s="83"/>
      <c r="AP35" s="83"/>
      <c r="AQ35" s="83"/>
    </row>
    <row r="36" spans="1:43">
      <c r="A36" s="83">
        <v>3</v>
      </c>
      <c r="B36" s="84">
        <v>1.8</v>
      </c>
      <c r="C36" s="84">
        <v>2.8</v>
      </c>
      <c r="D36" s="83">
        <v>3</v>
      </c>
      <c r="E36" s="85"/>
      <c r="F36" s="84" t="s">
        <v>0</v>
      </c>
      <c r="G36" s="83"/>
      <c r="H36" s="83" t="s">
        <v>0</v>
      </c>
      <c r="I36" s="83" t="s">
        <v>0</v>
      </c>
      <c r="J36" s="83">
        <v>27</v>
      </c>
      <c r="K36" s="83" t="s">
        <v>0</v>
      </c>
      <c r="L36" s="83">
        <v>368</v>
      </c>
      <c r="M36" s="83" t="s">
        <v>0</v>
      </c>
      <c r="N36" s="84" t="s">
        <v>0</v>
      </c>
      <c r="O36" s="84" t="s">
        <v>0</v>
      </c>
      <c r="P36" s="83" t="s">
        <v>0</v>
      </c>
      <c r="Q36" s="85" t="s">
        <v>0</v>
      </c>
      <c r="R36" s="84" t="s">
        <v>0</v>
      </c>
      <c r="S36" s="83" t="s">
        <v>0</v>
      </c>
      <c r="T36" s="83" t="s">
        <v>0</v>
      </c>
      <c r="U36" s="83" t="s">
        <v>0</v>
      </c>
      <c r="V36" s="83" t="s">
        <v>0</v>
      </c>
      <c r="W36" s="83" t="s">
        <v>0</v>
      </c>
      <c r="X36" s="83"/>
      <c r="Y36" s="85"/>
      <c r="Z36" s="84"/>
      <c r="AA36" s="83"/>
      <c r="AB36" s="83"/>
      <c r="AC36" s="83"/>
      <c r="AD36" s="83"/>
      <c r="AE36" s="83"/>
      <c r="AF36" s="83"/>
      <c r="AG36" s="83"/>
      <c r="AH36" s="84"/>
      <c r="AI36" s="84"/>
      <c r="AJ36" s="83"/>
      <c r="AK36" s="85"/>
      <c r="AL36" s="84"/>
      <c r="AM36" s="83"/>
      <c r="AN36" s="83"/>
      <c r="AO36" s="83"/>
      <c r="AP36" s="83"/>
      <c r="AQ36" s="83"/>
    </row>
    <row r="37" spans="1:43">
      <c r="A37" s="83">
        <v>3</v>
      </c>
      <c r="B37" s="84">
        <v>0.5</v>
      </c>
      <c r="C37" s="84" t="s">
        <v>0</v>
      </c>
      <c r="D37" s="83" t="s">
        <v>0</v>
      </c>
      <c r="E37" s="85"/>
      <c r="F37" s="84" t="s">
        <v>0</v>
      </c>
      <c r="G37" s="83"/>
      <c r="H37" s="83">
        <v>1</v>
      </c>
      <c r="I37" s="83" t="s">
        <v>0</v>
      </c>
      <c r="J37" s="83">
        <v>178</v>
      </c>
      <c r="K37" s="83" t="s">
        <v>0</v>
      </c>
      <c r="L37" s="83">
        <v>372</v>
      </c>
      <c r="M37" s="83" t="s">
        <v>0</v>
      </c>
      <c r="N37" s="84" t="s">
        <v>0</v>
      </c>
      <c r="O37" s="84" t="s">
        <v>0</v>
      </c>
      <c r="P37" s="83" t="s">
        <v>0</v>
      </c>
      <c r="Q37" s="85" t="s">
        <v>0</v>
      </c>
      <c r="R37" s="84" t="s">
        <v>0</v>
      </c>
      <c r="S37" s="83" t="s">
        <v>0</v>
      </c>
      <c r="T37" s="83" t="s">
        <v>0</v>
      </c>
      <c r="U37" s="83" t="s">
        <v>0</v>
      </c>
      <c r="V37" s="83" t="s">
        <v>0</v>
      </c>
      <c r="W37" s="83" t="s">
        <v>0</v>
      </c>
      <c r="X37" s="83"/>
      <c r="Y37" s="85"/>
      <c r="Z37" s="84"/>
      <c r="AA37" s="83"/>
      <c r="AB37" s="83"/>
      <c r="AC37" s="83"/>
      <c r="AD37" s="83"/>
      <c r="AE37" s="83"/>
      <c r="AF37" s="83"/>
      <c r="AG37" s="83"/>
      <c r="AH37" s="84"/>
      <c r="AI37" s="84"/>
      <c r="AJ37" s="83"/>
      <c r="AK37" s="85"/>
      <c r="AL37" s="84"/>
      <c r="AM37" s="83"/>
      <c r="AN37" s="83"/>
      <c r="AO37" s="83"/>
      <c r="AP37" s="83"/>
      <c r="AQ37" s="83"/>
    </row>
    <row r="38" spans="1:43">
      <c r="A38" s="37"/>
      <c r="B38" s="37"/>
      <c r="U38" s="83"/>
      <c r="V38" s="84"/>
      <c r="W38" s="84"/>
      <c r="X38" s="83"/>
      <c r="Y38" s="85"/>
      <c r="Z38" s="84"/>
      <c r="AA38" s="83"/>
      <c r="AB38" s="83"/>
      <c r="AC38" s="83"/>
      <c r="AD38" s="83"/>
      <c r="AE38" s="83"/>
      <c r="AF38" s="83"/>
      <c r="AG38" s="83"/>
      <c r="AH38" s="84"/>
      <c r="AI38" s="84"/>
      <c r="AJ38" s="83"/>
      <c r="AK38" s="85"/>
      <c r="AL38" s="84"/>
      <c r="AM38" s="83"/>
      <c r="AN38" s="83"/>
      <c r="AO38" s="83"/>
      <c r="AP38" s="83"/>
      <c r="AQ38" s="83"/>
    </row>
    <row r="39" spans="1:43">
      <c r="A39" s="37"/>
      <c r="B39" s="38"/>
      <c r="U39" s="83"/>
      <c r="V39" s="84"/>
      <c r="W39" s="84"/>
      <c r="X39" s="83"/>
      <c r="Y39" s="85"/>
      <c r="Z39" s="84"/>
      <c r="AA39" s="83"/>
      <c r="AB39" s="83"/>
      <c r="AC39" s="83"/>
      <c r="AD39" s="83"/>
      <c r="AE39" s="83"/>
      <c r="AF39" s="83"/>
      <c r="AG39" s="83"/>
      <c r="AH39" s="84"/>
      <c r="AI39" s="84"/>
      <c r="AJ39" s="83"/>
      <c r="AK39" s="85"/>
      <c r="AL39" s="84"/>
      <c r="AM39" s="83"/>
      <c r="AN39" s="83"/>
      <c r="AO39" s="83"/>
      <c r="AP39" s="83"/>
      <c r="AQ39" s="83"/>
    </row>
    <row r="40" spans="1:43">
      <c r="A40" s="38"/>
      <c r="B40" s="37"/>
      <c r="U40" s="83"/>
      <c r="V40" s="84"/>
      <c r="W40" s="84"/>
      <c r="X40" s="83"/>
      <c r="Y40" s="85"/>
      <c r="Z40" s="84"/>
      <c r="AA40" s="83"/>
      <c r="AB40" s="83"/>
      <c r="AC40" s="83"/>
      <c r="AD40" s="83"/>
      <c r="AE40" s="83"/>
      <c r="AF40" s="83"/>
      <c r="AG40" s="83"/>
      <c r="AH40" s="84"/>
      <c r="AI40" s="84"/>
      <c r="AJ40" s="83"/>
      <c r="AK40" s="85"/>
      <c r="AL40" s="84"/>
      <c r="AM40" s="83"/>
      <c r="AN40" s="83"/>
      <c r="AO40" s="83"/>
      <c r="AP40" s="83"/>
      <c r="AQ40" s="83"/>
    </row>
    <row r="41" spans="1:43">
      <c r="A41" s="37"/>
      <c r="B41" s="37"/>
      <c r="G41" s="27"/>
      <c r="M41" s="27"/>
      <c r="U41" s="83"/>
      <c r="V41" s="84"/>
      <c r="W41" s="84"/>
      <c r="X41" s="83"/>
      <c r="Y41" s="85"/>
      <c r="Z41" s="84"/>
      <c r="AA41" s="83"/>
      <c r="AB41" s="83"/>
      <c r="AC41" s="83"/>
      <c r="AD41" s="83"/>
      <c r="AE41" s="83"/>
      <c r="AF41" s="83"/>
      <c r="AG41" s="83"/>
      <c r="AH41" s="84"/>
      <c r="AI41" s="84"/>
      <c r="AJ41" s="83"/>
      <c r="AK41" s="85"/>
      <c r="AL41" s="84"/>
      <c r="AM41" s="83"/>
      <c r="AN41" s="83"/>
      <c r="AO41" s="83"/>
      <c r="AP41" s="83"/>
      <c r="AQ41" s="83"/>
    </row>
    <row r="42" spans="1:43">
      <c r="A42" s="37"/>
      <c r="B42" s="33"/>
      <c r="U42" s="83"/>
      <c r="V42" s="84"/>
      <c r="W42" s="84"/>
      <c r="X42" s="83"/>
      <c r="Y42" s="85"/>
      <c r="Z42" s="84"/>
      <c r="AA42" s="83"/>
      <c r="AB42" s="83"/>
      <c r="AC42" s="83"/>
      <c r="AD42" s="83"/>
      <c r="AE42" s="83"/>
      <c r="AF42" s="83"/>
      <c r="AG42" s="83"/>
      <c r="AH42" s="84"/>
      <c r="AI42" s="84"/>
      <c r="AJ42" s="83"/>
      <c r="AK42" s="85"/>
      <c r="AL42" s="84"/>
      <c r="AM42" s="83"/>
      <c r="AN42" s="83"/>
      <c r="AO42" s="83"/>
      <c r="AP42" s="83"/>
      <c r="AQ42" s="83"/>
    </row>
    <row r="43" spans="1:43">
      <c r="A43" s="33"/>
      <c r="B43" s="34"/>
      <c r="U43" s="83"/>
      <c r="V43" s="84"/>
      <c r="W43" s="84"/>
      <c r="X43" s="83"/>
      <c r="Y43" s="85"/>
      <c r="Z43" s="84"/>
      <c r="AA43" s="83"/>
      <c r="AB43" s="83"/>
      <c r="AC43" s="83"/>
      <c r="AD43" s="83"/>
      <c r="AE43" s="83"/>
      <c r="AF43" s="83"/>
      <c r="AG43" s="83"/>
      <c r="AH43" s="84"/>
      <c r="AI43" s="84"/>
      <c r="AJ43" s="83"/>
      <c r="AK43" s="85"/>
      <c r="AL43" s="84"/>
      <c r="AM43" s="83"/>
      <c r="AN43" s="83"/>
      <c r="AO43" s="83"/>
      <c r="AP43" s="83"/>
      <c r="AQ43" s="83"/>
    </row>
    <row r="44" spans="1:43">
      <c r="A44" s="34"/>
      <c r="B44" s="34"/>
      <c r="U44" s="83"/>
      <c r="V44" s="84"/>
      <c r="W44" s="84"/>
      <c r="X44" s="83"/>
      <c r="Y44" s="85"/>
      <c r="Z44" s="84"/>
      <c r="AA44" s="83"/>
      <c r="AB44" s="83"/>
      <c r="AC44" s="83"/>
      <c r="AD44" s="83"/>
      <c r="AE44" s="83"/>
      <c r="AF44" s="83"/>
      <c r="AG44" s="83"/>
      <c r="AH44" s="84"/>
      <c r="AI44" s="84"/>
      <c r="AJ44" s="83"/>
      <c r="AK44" s="85"/>
      <c r="AL44" s="84"/>
      <c r="AM44" s="83"/>
      <c r="AN44" s="83"/>
      <c r="AO44" s="83"/>
      <c r="AP44" s="83"/>
      <c r="AQ44" s="83"/>
    </row>
    <row r="45" spans="1:43">
      <c r="A45" s="34"/>
      <c r="B45" s="33"/>
      <c r="U45" s="83"/>
      <c r="V45" s="84"/>
      <c r="W45" s="84"/>
      <c r="X45" s="83"/>
      <c r="Y45" s="85"/>
      <c r="Z45" s="84"/>
      <c r="AA45" s="83"/>
      <c r="AB45" s="83"/>
      <c r="AC45" s="83"/>
      <c r="AD45" s="83"/>
      <c r="AE45" s="83"/>
      <c r="AF45" s="83"/>
      <c r="AG45" s="83"/>
      <c r="AH45" s="84"/>
      <c r="AI45" s="84"/>
      <c r="AJ45" s="83"/>
      <c r="AK45" s="85"/>
      <c r="AL45" s="84"/>
      <c r="AM45" s="83"/>
      <c r="AN45" s="83"/>
      <c r="AO45" s="83"/>
      <c r="AP45" s="83"/>
      <c r="AQ45" s="83"/>
    </row>
    <row r="46" spans="1:43">
      <c r="A46" s="33"/>
      <c r="B46" s="35"/>
      <c r="U46" s="83"/>
      <c r="V46" s="84"/>
      <c r="W46" s="84"/>
      <c r="X46" s="83"/>
      <c r="Y46" s="85"/>
      <c r="Z46" s="84"/>
      <c r="AA46" s="83"/>
      <c r="AB46" s="83"/>
      <c r="AC46" s="83"/>
      <c r="AD46" s="83"/>
      <c r="AE46" s="83"/>
      <c r="AF46" s="83"/>
      <c r="AG46" s="83"/>
      <c r="AH46" s="84"/>
      <c r="AI46" s="84"/>
      <c r="AJ46" s="83"/>
      <c r="AK46" s="85"/>
      <c r="AL46" s="84"/>
      <c r="AM46" s="83"/>
      <c r="AN46" s="83"/>
      <c r="AO46" s="83"/>
      <c r="AP46" s="83"/>
      <c r="AQ46" s="83"/>
    </row>
    <row r="47" spans="1:43">
      <c r="A47" s="35"/>
      <c r="B47" s="36"/>
      <c r="U47" s="83"/>
      <c r="V47" s="84"/>
      <c r="W47" s="84"/>
      <c r="X47" s="83"/>
      <c r="Y47" s="85"/>
      <c r="Z47" s="84"/>
      <c r="AA47" s="83"/>
      <c r="AB47" s="83"/>
      <c r="AC47" s="83"/>
      <c r="AD47" s="83"/>
      <c r="AE47" s="83"/>
      <c r="AF47" s="83"/>
      <c r="AG47" s="83"/>
      <c r="AH47" s="84"/>
      <c r="AI47" s="84"/>
      <c r="AJ47" s="83"/>
      <c r="AK47" s="85"/>
      <c r="AL47" s="84"/>
      <c r="AM47" s="83"/>
      <c r="AN47" s="83"/>
      <c r="AO47" s="83"/>
      <c r="AP47" s="83"/>
      <c r="AQ47" s="83"/>
    </row>
    <row r="48" spans="1:43">
      <c r="A48" s="36"/>
      <c r="B48" s="37"/>
      <c r="U48" s="83"/>
      <c r="V48" s="84"/>
      <c r="W48" s="84"/>
      <c r="X48" s="83"/>
      <c r="Y48" s="85"/>
      <c r="Z48" s="84"/>
      <c r="AA48" s="83"/>
      <c r="AB48" s="83"/>
      <c r="AC48" s="83"/>
      <c r="AD48" s="83"/>
      <c r="AE48" s="83"/>
      <c r="AF48" s="83"/>
      <c r="AG48" s="83"/>
      <c r="AH48" s="84"/>
      <c r="AI48" s="84"/>
      <c r="AJ48" s="83"/>
      <c r="AK48" s="85"/>
      <c r="AL48" s="84"/>
      <c r="AM48" s="83"/>
      <c r="AN48" s="83"/>
      <c r="AO48" s="83"/>
      <c r="AP48" s="83"/>
      <c r="AQ48" s="83"/>
    </row>
    <row r="49" spans="1:43">
      <c r="A49" s="37"/>
      <c r="B49" s="37"/>
      <c r="U49" s="83"/>
      <c r="V49" s="84"/>
      <c r="W49" s="84"/>
      <c r="X49" s="83"/>
      <c r="Y49" s="85"/>
      <c r="Z49" s="84"/>
      <c r="AA49" s="83"/>
      <c r="AB49" s="83"/>
      <c r="AC49" s="83"/>
      <c r="AD49" s="83"/>
      <c r="AE49" s="83"/>
      <c r="AF49" s="83"/>
      <c r="AG49" s="83"/>
      <c r="AH49" s="84"/>
      <c r="AI49" s="84"/>
      <c r="AJ49" s="83"/>
      <c r="AK49" s="85"/>
      <c r="AL49" s="84"/>
      <c r="AM49" s="83"/>
      <c r="AN49" s="83"/>
      <c r="AO49" s="83"/>
      <c r="AP49" s="83"/>
      <c r="AQ49" s="83"/>
    </row>
    <row r="50" spans="1:43">
      <c r="A50" s="37"/>
      <c r="B50" s="38"/>
      <c r="U50" s="83"/>
      <c r="V50" s="84"/>
      <c r="W50" s="84"/>
      <c r="X50" s="83"/>
      <c r="Y50" s="85"/>
      <c r="Z50" s="84"/>
      <c r="AA50" s="83"/>
      <c r="AB50" s="83"/>
      <c r="AC50" s="83"/>
      <c r="AD50" s="83"/>
      <c r="AE50" s="83"/>
      <c r="AF50" s="83"/>
      <c r="AG50" s="83"/>
      <c r="AH50" s="84"/>
      <c r="AI50" s="84"/>
      <c r="AJ50" s="83"/>
      <c r="AK50" s="85"/>
      <c r="AL50" s="84"/>
      <c r="AM50" s="83"/>
      <c r="AN50" s="83"/>
      <c r="AO50" s="83"/>
      <c r="AP50" s="83"/>
      <c r="AQ50" s="83"/>
    </row>
    <row r="51" spans="1:43">
      <c r="A51" s="38"/>
      <c r="B51" s="37"/>
      <c r="U51" s="83"/>
      <c r="V51" s="84"/>
      <c r="W51" s="84"/>
      <c r="X51" s="83"/>
      <c r="Y51" s="85"/>
      <c r="Z51" s="84"/>
      <c r="AA51" s="83"/>
      <c r="AB51" s="83"/>
      <c r="AC51" s="83"/>
      <c r="AD51" s="83"/>
      <c r="AE51" s="83"/>
      <c r="AF51" s="83"/>
      <c r="AG51" s="83"/>
      <c r="AH51" s="84"/>
      <c r="AI51" s="84"/>
      <c r="AJ51" s="83"/>
      <c r="AK51" s="85"/>
      <c r="AL51" s="84"/>
      <c r="AM51" s="83"/>
      <c r="AN51" s="83"/>
      <c r="AO51" s="83"/>
      <c r="AP51" s="83"/>
      <c r="AQ51" s="83"/>
    </row>
    <row r="52" spans="1:43">
      <c r="A52" s="37"/>
      <c r="B52" s="39"/>
      <c r="U52" s="83"/>
      <c r="V52" s="84"/>
      <c r="W52" s="84"/>
      <c r="X52" s="83"/>
      <c r="Y52" s="85"/>
      <c r="Z52" s="84"/>
      <c r="AA52" s="83"/>
      <c r="AB52" s="83"/>
      <c r="AC52" s="83"/>
      <c r="AD52" s="83"/>
      <c r="AE52" s="83"/>
      <c r="AF52" s="83"/>
      <c r="AG52" s="83"/>
      <c r="AH52" s="84"/>
      <c r="AI52" s="84"/>
      <c r="AJ52" s="83"/>
      <c r="AK52" s="85"/>
      <c r="AL52" s="84"/>
      <c r="AM52" s="83"/>
      <c r="AN52" s="83"/>
      <c r="AO52" s="83"/>
      <c r="AP52" s="83"/>
      <c r="AQ52" s="83"/>
    </row>
    <row r="53" spans="1:43">
      <c r="A53" s="39"/>
      <c r="B53" s="40"/>
      <c r="U53" s="83"/>
      <c r="V53" s="84"/>
      <c r="W53" s="84"/>
      <c r="X53" s="83"/>
      <c r="Y53" s="85"/>
      <c r="Z53" s="84"/>
      <c r="AA53" s="83"/>
      <c r="AB53" s="83"/>
      <c r="AC53" s="83"/>
      <c r="AD53" s="83"/>
      <c r="AE53" s="83"/>
      <c r="AF53" s="83"/>
      <c r="AG53" s="83"/>
      <c r="AH53" s="84"/>
      <c r="AI53" s="84"/>
      <c r="AJ53" s="83"/>
      <c r="AK53" s="85"/>
      <c r="AL53" s="84"/>
      <c r="AM53" s="83"/>
      <c r="AN53" s="83"/>
      <c r="AO53" s="83"/>
      <c r="AP53" s="83"/>
      <c r="AQ53" s="83"/>
    </row>
    <row r="54" spans="1:43">
      <c r="A54" s="40"/>
      <c r="B54" s="33"/>
      <c r="G54" s="27"/>
      <c r="U54" s="83"/>
      <c r="V54" s="84"/>
      <c r="W54" s="84"/>
      <c r="X54" s="83"/>
      <c r="Y54" s="85"/>
      <c r="Z54" s="84"/>
      <c r="AA54" s="83"/>
      <c r="AB54" s="83"/>
      <c r="AC54" s="83"/>
      <c r="AD54" s="83"/>
      <c r="AE54" s="83"/>
      <c r="AF54" s="83"/>
      <c r="AG54" s="83"/>
      <c r="AH54" s="84"/>
      <c r="AI54" s="84"/>
      <c r="AJ54" s="83"/>
      <c r="AK54" s="85"/>
      <c r="AL54" s="84"/>
      <c r="AM54" s="83"/>
      <c r="AN54" s="83"/>
      <c r="AO54" s="83"/>
      <c r="AP54" s="83"/>
      <c r="AQ54" s="83"/>
    </row>
    <row r="55" spans="1:43">
      <c r="A55" s="33"/>
      <c r="B55" s="34"/>
      <c r="U55" s="83"/>
      <c r="V55" s="84"/>
      <c r="W55" s="84"/>
      <c r="X55" s="83"/>
      <c r="Y55" s="85"/>
      <c r="Z55" s="84"/>
      <c r="AA55" s="83"/>
      <c r="AB55" s="83"/>
      <c r="AC55" s="83"/>
      <c r="AD55" s="83"/>
      <c r="AE55" s="83"/>
      <c r="AF55" s="83"/>
      <c r="AG55" s="83"/>
      <c r="AH55" s="84"/>
      <c r="AI55" s="84"/>
      <c r="AJ55" s="83"/>
      <c r="AK55" s="85"/>
      <c r="AL55" s="84"/>
      <c r="AM55" s="83"/>
      <c r="AN55" s="83"/>
      <c r="AO55" s="83"/>
      <c r="AP55" s="83"/>
      <c r="AQ55" s="83"/>
    </row>
    <row r="56" spans="1:43">
      <c r="A56" s="34"/>
      <c r="B56" s="34"/>
      <c r="C56" s="27" t="s">
        <v>1149</v>
      </c>
      <c r="U56" s="83"/>
      <c r="V56" s="84"/>
      <c r="W56" s="84"/>
      <c r="X56" s="83"/>
      <c r="Y56" s="85"/>
      <c r="Z56" s="84"/>
      <c r="AA56" s="83"/>
      <c r="AB56" s="83"/>
      <c r="AC56" s="83"/>
      <c r="AD56" s="83"/>
      <c r="AE56" s="83"/>
      <c r="AF56" s="83"/>
      <c r="AG56" s="83"/>
      <c r="AH56" s="84"/>
      <c r="AI56" s="84"/>
      <c r="AJ56" s="83"/>
      <c r="AK56" s="85"/>
      <c r="AL56" s="84"/>
      <c r="AM56" s="83"/>
      <c r="AN56" s="83"/>
      <c r="AO56" s="83"/>
      <c r="AP56" s="83"/>
      <c r="AQ56" s="83"/>
    </row>
    <row r="57" spans="1:43">
      <c r="A57" s="34"/>
      <c r="B57" s="33"/>
      <c r="C57">
        <f t="shared" ref="C57:C68" si="0">(B25+C25)/2</f>
        <v>14.2</v>
      </c>
      <c r="U57" s="83"/>
      <c r="V57" s="84"/>
      <c r="W57" s="84"/>
      <c r="X57" s="83"/>
      <c r="Y57" s="85"/>
      <c r="Z57" s="84"/>
      <c r="AA57" s="83"/>
      <c r="AB57" s="83"/>
      <c r="AC57" s="83"/>
      <c r="AD57" s="83"/>
      <c r="AE57" s="83"/>
      <c r="AF57" s="83"/>
      <c r="AG57" s="83"/>
      <c r="AH57" s="84"/>
      <c r="AI57" s="84"/>
      <c r="AJ57" s="83"/>
      <c r="AK57" s="85"/>
      <c r="AL57" s="84"/>
      <c r="AM57" s="83"/>
      <c r="AN57" s="83"/>
      <c r="AO57" s="83"/>
      <c r="AP57" s="83"/>
      <c r="AQ57" s="83"/>
    </row>
    <row r="58" spans="1:43">
      <c r="A58" s="33"/>
      <c r="B58" s="35"/>
      <c r="C58">
        <f t="shared" si="0"/>
        <v>11.25</v>
      </c>
      <c r="U58" s="83"/>
      <c r="V58" s="84"/>
      <c r="W58" s="84"/>
      <c r="X58" s="83"/>
      <c r="Y58" s="85"/>
      <c r="Z58" s="84"/>
      <c r="AA58" s="83"/>
      <c r="AB58" s="83"/>
      <c r="AC58" s="83"/>
      <c r="AD58" s="83"/>
      <c r="AE58" s="83"/>
      <c r="AF58" s="83"/>
      <c r="AG58" s="83"/>
      <c r="AH58" s="84"/>
      <c r="AI58" s="84"/>
      <c r="AJ58" s="83"/>
      <c r="AK58" s="85"/>
      <c r="AL58" s="84"/>
      <c r="AM58" s="83"/>
      <c r="AN58" s="83"/>
      <c r="AO58" s="83"/>
      <c r="AP58" s="83"/>
      <c r="AQ58" s="83"/>
    </row>
    <row r="59" spans="1:43">
      <c r="A59" s="35"/>
      <c r="B59" s="41"/>
      <c r="C59">
        <f t="shared" si="0"/>
        <v>9.85</v>
      </c>
      <c r="U59" s="83"/>
      <c r="V59" s="84"/>
      <c r="W59" s="84"/>
      <c r="X59" s="83"/>
      <c r="Y59" s="85"/>
      <c r="Z59" s="84"/>
      <c r="AA59" s="83"/>
      <c r="AB59" s="83"/>
      <c r="AC59" s="83"/>
      <c r="AD59" s="83"/>
      <c r="AE59" s="83"/>
      <c r="AF59" s="83"/>
      <c r="AG59" s="83"/>
      <c r="AH59" s="84"/>
      <c r="AI59" s="84"/>
      <c r="AJ59" s="83"/>
      <c r="AK59" s="85"/>
      <c r="AL59" s="84"/>
      <c r="AM59" s="83"/>
      <c r="AN59" s="83"/>
      <c r="AO59" s="83"/>
      <c r="AP59" s="83"/>
      <c r="AQ59" s="83"/>
    </row>
    <row r="60" spans="1:43">
      <c r="A60" s="41"/>
      <c r="B60" s="37"/>
      <c r="C60">
        <f t="shared" si="0"/>
        <v>8.0500000000000007</v>
      </c>
      <c r="U60" s="83"/>
      <c r="V60" s="84"/>
      <c r="W60" s="84"/>
      <c r="X60" s="83"/>
      <c r="Y60" s="85"/>
      <c r="Z60" s="84"/>
      <c r="AA60" s="83"/>
      <c r="AB60" s="83"/>
      <c r="AC60" s="83"/>
      <c r="AD60" s="83"/>
      <c r="AE60" s="83"/>
      <c r="AF60" s="83"/>
      <c r="AG60" s="83"/>
      <c r="AH60" s="84"/>
      <c r="AI60" s="84"/>
      <c r="AJ60" s="83"/>
      <c r="AK60" s="85"/>
      <c r="AL60" s="84"/>
      <c r="AM60" s="83"/>
      <c r="AN60" s="83"/>
      <c r="AO60" s="83"/>
      <c r="AP60" s="83"/>
      <c r="AQ60" s="83"/>
    </row>
    <row r="61" spans="1:43">
      <c r="A61" s="37"/>
      <c r="B61" s="37"/>
      <c r="C61">
        <f t="shared" si="0"/>
        <v>7</v>
      </c>
    </row>
    <row r="62" spans="1:43">
      <c r="A62" s="37"/>
      <c r="B62" s="38"/>
      <c r="C62">
        <f t="shared" si="0"/>
        <v>6.15</v>
      </c>
    </row>
    <row r="63" spans="1:43">
      <c r="A63" s="38"/>
      <c r="B63" s="37"/>
      <c r="C63">
        <f t="shared" si="0"/>
        <v>4.9000000000000004</v>
      </c>
    </row>
    <row r="64" spans="1:43">
      <c r="A64" s="37"/>
      <c r="B64" s="37"/>
      <c r="C64">
        <f t="shared" si="0"/>
        <v>4.4000000000000004</v>
      </c>
    </row>
    <row r="65" spans="1:3">
      <c r="A65" s="37"/>
      <c r="B65" s="33"/>
      <c r="C65">
        <f t="shared" si="0"/>
        <v>3.55</v>
      </c>
    </row>
    <row r="66" spans="1:3">
      <c r="A66" s="33"/>
      <c r="B66" s="34"/>
      <c r="C66">
        <f t="shared" si="0"/>
        <v>2.8</v>
      </c>
    </row>
    <row r="67" spans="1:3">
      <c r="A67" s="34"/>
      <c r="B67" s="34"/>
      <c r="C67">
        <f t="shared" si="0"/>
        <v>2.7</v>
      </c>
    </row>
    <row r="68" spans="1:3">
      <c r="A68" s="34"/>
      <c r="B68" s="33"/>
      <c r="C68">
        <f t="shared" si="0"/>
        <v>2.2999999999999998</v>
      </c>
    </row>
    <row r="69" spans="1:3">
      <c r="A69" s="33"/>
      <c r="B69" s="35"/>
    </row>
    <row r="70" spans="1:3">
      <c r="A70" s="35"/>
      <c r="B70" s="36"/>
    </row>
    <row r="71" spans="1:3">
      <c r="A71" s="36"/>
      <c r="B71" s="37"/>
    </row>
    <row r="72" spans="1:3">
      <c r="A72" s="37"/>
      <c r="B72" s="37"/>
    </row>
    <row r="73" spans="1:3">
      <c r="A73" s="37"/>
      <c r="B73" s="38"/>
    </row>
    <row r="74" spans="1:3">
      <c r="A74" s="38"/>
      <c r="B74" s="37"/>
    </row>
    <row r="75" spans="1:3">
      <c r="A75" s="37"/>
      <c r="B75" s="39"/>
    </row>
    <row r="76" spans="1:3">
      <c r="A76" s="39"/>
      <c r="B76" s="40"/>
    </row>
    <row r="77" spans="1:3">
      <c r="A77" s="40"/>
      <c r="B77" s="33"/>
    </row>
    <row r="78" spans="1:3">
      <c r="A78" s="33"/>
      <c r="B78" s="34"/>
    </row>
    <row r="79" spans="1:3">
      <c r="A79" s="34"/>
      <c r="B79" s="34"/>
    </row>
    <row r="80" spans="1:3">
      <c r="A80" s="34"/>
      <c r="B80" s="33"/>
    </row>
    <row r="81" spans="1:2">
      <c r="A81" s="33"/>
      <c r="B81" s="35"/>
    </row>
    <row r="82" spans="1:2">
      <c r="A82" s="35"/>
      <c r="B82" s="41"/>
    </row>
    <row r="83" spans="1:2">
      <c r="A83" s="41"/>
      <c r="B83" s="37"/>
    </row>
    <row r="84" spans="1:2">
      <c r="A84" s="37"/>
      <c r="B84" s="37"/>
    </row>
    <row r="85" spans="1:2">
      <c r="A85" s="37"/>
      <c r="B85" s="38"/>
    </row>
    <row r="86" spans="1:2">
      <c r="A86" s="38"/>
      <c r="B86" s="37"/>
    </row>
    <row r="87" spans="1:2">
      <c r="A87" s="37"/>
      <c r="B87" s="37"/>
    </row>
    <row r="88" spans="1:2">
      <c r="A88" s="37"/>
      <c r="B88" s="33"/>
    </row>
    <row r="89" spans="1:2">
      <c r="A89" s="33"/>
      <c r="B89" s="34"/>
    </row>
    <row r="90" spans="1:2">
      <c r="A90" s="34"/>
      <c r="B90" s="34"/>
    </row>
    <row r="91" spans="1:2">
      <c r="A91" s="34"/>
      <c r="B91" s="33"/>
    </row>
    <row r="92" spans="1:2">
      <c r="A92" s="33"/>
      <c r="B92" s="35"/>
    </row>
    <row r="93" spans="1:2">
      <c r="A93" s="35"/>
      <c r="B93" s="36"/>
    </row>
    <row r="94" spans="1:2">
      <c r="A94" s="36"/>
      <c r="B94" s="37"/>
    </row>
    <row r="95" spans="1:2">
      <c r="A95" s="37"/>
      <c r="B95" s="37"/>
    </row>
    <row r="96" spans="1:2">
      <c r="A96" s="37"/>
      <c r="B96" s="38"/>
    </row>
    <row r="97" spans="1:2">
      <c r="A97" s="38"/>
      <c r="B97" s="37"/>
    </row>
    <row r="98" spans="1:2">
      <c r="A98" s="37"/>
      <c r="B98" s="39"/>
    </row>
    <row r="99" spans="1:2">
      <c r="A99" s="39"/>
      <c r="B99" s="40"/>
    </row>
    <row r="100" spans="1:2">
      <c r="A100" s="40"/>
      <c r="B100" s="33"/>
    </row>
    <row r="101" spans="1:2">
      <c r="A101" s="33"/>
      <c r="B101" s="34"/>
    </row>
    <row r="102" spans="1:2">
      <c r="A102" s="34"/>
      <c r="B102" s="34"/>
    </row>
    <row r="103" spans="1:2">
      <c r="A103" s="34"/>
      <c r="B103" s="33"/>
    </row>
    <row r="104" spans="1:2">
      <c r="A104" s="33"/>
      <c r="B104" s="35"/>
    </row>
    <row r="105" spans="1:2">
      <c r="A105" s="35"/>
      <c r="B105" s="41"/>
    </row>
    <row r="106" spans="1:2">
      <c r="A106" s="41"/>
      <c r="B106" s="37"/>
    </row>
    <row r="107" spans="1:2">
      <c r="A107" s="37"/>
      <c r="B107" s="37"/>
    </row>
    <row r="108" spans="1:2">
      <c r="A108" s="37"/>
      <c r="B108" s="38"/>
    </row>
    <row r="109" spans="1:2">
      <c r="A109" s="38"/>
      <c r="B109" s="37"/>
    </row>
    <row r="110" spans="1:2">
      <c r="A110" s="37"/>
      <c r="B110" s="37"/>
    </row>
    <row r="111" spans="1:2">
      <c r="A111" s="37"/>
      <c r="B111" s="33"/>
    </row>
    <row r="112" spans="1:2">
      <c r="A112" s="33"/>
      <c r="B112" s="34"/>
    </row>
    <row r="113" spans="1:2">
      <c r="A113" s="34"/>
      <c r="B113" s="34"/>
    </row>
    <row r="114" spans="1:2">
      <c r="A114" s="34"/>
      <c r="B114" s="33"/>
    </row>
    <row r="115" spans="1:2">
      <c r="A115" s="33"/>
      <c r="B115" s="35"/>
    </row>
    <row r="116" spans="1:2">
      <c r="A116" s="35"/>
      <c r="B116" s="36"/>
    </row>
    <row r="117" spans="1:2">
      <c r="A117" s="36"/>
      <c r="B117" s="37"/>
    </row>
    <row r="118" spans="1:2">
      <c r="A118" s="37"/>
      <c r="B118" s="37"/>
    </row>
    <row r="119" spans="1:2">
      <c r="A119" s="37"/>
      <c r="B119" s="38"/>
    </row>
    <row r="120" spans="1:2">
      <c r="A120" s="38"/>
      <c r="B120" s="37"/>
    </row>
    <row r="121" spans="1:2">
      <c r="A121" s="37"/>
      <c r="B121" s="39"/>
    </row>
    <row r="122" spans="1:2">
      <c r="A122" s="39"/>
      <c r="B122" s="40"/>
    </row>
    <row r="123" spans="1:2">
      <c r="A123" s="40"/>
      <c r="B123" s="33"/>
    </row>
    <row r="124" spans="1:2">
      <c r="A124" s="33"/>
      <c r="B124" s="34"/>
    </row>
    <row r="125" spans="1:2">
      <c r="A125" s="34"/>
      <c r="B125" s="34"/>
    </row>
    <row r="126" spans="1:2">
      <c r="A126" s="34"/>
      <c r="B126" s="33"/>
    </row>
    <row r="127" spans="1:2">
      <c r="A127" s="33"/>
      <c r="B127" s="35"/>
    </row>
    <row r="128" spans="1:2">
      <c r="A128" s="35"/>
      <c r="B128" s="41"/>
    </row>
    <row r="129" spans="1:2">
      <c r="A129" s="41"/>
      <c r="B129" s="37"/>
    </row>
    <row r="130" spans="1:2">
      <c r="A130" s="37"/>
      <c r="B130" s="37"/>
    </row>
    <row r="131" spans="1:2">
      <c r="A131" s="37"/>
      <c r="B131" s="38"/>
    </row>
    <row r="132" spans="1:2">
      <c r="A132" s="38"/>
      <c r="B132" s="37"/>
    </row>
    <row r="133" spans="1:2">
      <c r="A133" s="37"/>
      <c r="B133" s="37"/>
    </row>
    <row r="134" spans="1:2">
      <c r="A134" s="37"/>
      <c r="B134" s="33"/>
    </row>
    <row r="135" spans="1:2">
      <c r="A135" s="33"/>
      <c r="B135" s="34"/>
    </row>
    <row r="136" spans="1:2">
      <c r="A136" s="34"/>
      <c r="B136" s="34"/>
    </row>
    <row r="137" spans="1:2">
      <c r="A137" s="34"/>
      <c r="B137" s="33"/>
    </row>
    <row r="138" spans="1:2">
      <c r="A138" s="33"/>
      <c r="B138" s="35"/>
    </row>
    <row r="139" spans="1:2">
      <c r="A139" s="35"/>
      <c r="B139" s="36"/>
    </row>
    <row r="140" spans="1:2">
      <c r="A140" s="36"/>
      <c r="B140" s="37"/>
    </row>
    <row r="141" spans="1:2">
      <c r="A141" s="37"/>
      <c r="B141" s="37"/>
    </row>
    <row r="142" spans="1:2">
      <c r="A142" s="37"/>
      <c r="B142" s="38"/>
    </row>
    <row r="143" spans="1:2">
      <c r="A143" s="38"/>
      <c r="B143" s="37"/>
    </row>
    <row r="144" spans="1:2">
      <c r="A144" s="37"/>
      <c r="B144" s="39"/>
    </row>
    <row r="145" spans="1:2">
      <c r="A145" s="39"/>
      <c r="B145" s="40"/>
    </row>
    <row r="146" spans="1:2">
      <c r="A146" s="40"/>
      <c r="B146" s="33"/>
    </row>
    <row r="147" spans="1:2">
      <c r="A147" s="33"/>
      <c r="B147" s="34"/>
    </row>
    <row r="148" spans="1:2">
      <c r="A148" s="34"/>
      <c r="B148" s="34"/>
    </row>
    <row r="149" spans="1:2">
      <c r="A149" s="34"/>
      <c r="B149" s="33"/>
    </row>
    <row r="150" spans="1:2">
      <c r="A150" s="33"/>
      <c r="B150" s="35"/>
    </row>
    <row r="151" spans="1:2">
      <c r="A151" s="35"/>
      <c r="B151" s="41"/>
    </row>
    <row r="152" spans="1:2">
      <c r="A152" s="41"/>
      <c r="B152" s="37"/>
    </row>
    <row r="153" spans="1:2">
      <c r="A153" s="37"/>
      <c r="B153" s="37"/>
    </row>
    <row r="154" spans="1:2">
      <c r="A154" s="37"/>
      <c r="B154" s="38"/>
    </row>
    <row r="155" spans="1:2">
      <c r="A155" s="38"/>
      <c r="B155" s="37"/>
    </row>
    <row r="156" spans="1:2">
      <c r="A156" s="37"/>
      <c r="B156" s="37"/>
    </row>
    <row r="157" spans="1:2">
      <c r="A157" s="37"/>
      <c r="B157" s="33"/>
    </row>
    <row r="158" spans="1:2">
      <c r="A158" s="33"/>
      <c r="B158" s="34"/>
    </row>
    <row r="159" spans="1:2">
      <c r="A159" s="34"/>
      <c r="B159" s="34"/>
    </row>
    <row r="160" spans="1:2">
      <c r="A160" s="34"/>
      <c r="B160" s="33"/>
    </row>
    <row r="161" spans="1:2">
      <c r="A161" s="33"/>
      <c r="B161" s="35"/>
    </row>
    <row r="162" spans="1:2">
      <c r="A162" s="35"/>
      <c r="B162" s="36"/>
    </row>
    <row r="163" spans="1:2">
      <c r="A163" s="36"/>
      <c r="B163" s="37"/>
    </row>
    <row r="164" spans="1:2">
      <c r="A164" s="37"/>
      <c r="B164" s="37"/>
    </row>
    <row r="165" spans="1:2">
      <c r="A165" s="37"/>
      <c r="B165" s="38"/>
    </row>
    <row r="166" spans="1:2">
      <c r="A166" s="38"/>
      <c r="B166" s="37"/>
    </row>
    <row r="167" spans="1:2">
      <c r="A167" s="37"/>
      <c r="B167" s="39"/>
    </row>
    <row r="168" spans="1:2">
      <c r="A168" s="39"/>
      <c r="B168" s="40"/>
    </row>
    <row r="169" spans="1:2">
      <c r="A169" s="40"/>
      <c r="B169" s="33"/>
    </row>
    <row r="170" spans="1:2">
      <c r="A170" s="33"/>
      <c r="B170" s="34"/>
    </row>
    <row r="171" spans="1:2">
      <c r="A171" s="34"/>
      <c r="B171" s="34"/>
    </row>
    <row r="172" spans="1:2">
      <c r="A172" s="34"/>
      <c r="B172" s="33"/>
    </row>
    <row r="173" spans="1:2">
      <c r="A173" s="33"/>
      <c r="B173" s="35"/>
    </row>
    <row r="174" spans="1:2">
      <c r="A174" s="35"/>
      <c r="B174" s="41"/>
    </row>
    <row r="175" spans="1:2">
      <c r="A175" s="41"/>
      <c r="B175" s="37"/>
    </row>
    <row r="176" spans="1:2">
      <c r="A176" s="37"/>
      <c r="B176" s="37"/>
    </row>
    <row r="177" spans="1:2">
      <c r="A177" s="37"/>
      <c r="B177" s="38"/>
    </row>
    <row r="178" spans="1:2">
      <c r="A178" s="38"/>
      <c r="B178" s="37"/>
    </row>
    <row r="179" spans="1:2">
      <c r="A179" s="37"/>
      <c r="B179" s="37"/>
    </row>
    <row r="180" spans="1:2">
      <c r="A180" s="37"/>
      <c r="B180" s="33"/>
    </row>
    <row r="181" spans="1:2">
      <c r="A181" s="33"/>
      <c r="B181" s="34"/>
    </row>
    <row r="182" spans="1:2">
      <c r="A182" s="34"/>
      <c r="B182" s="34"/>
    </row>
    <row r="183" spans="1:2">
      <c r="A183" s="34"/>
      <c r="B183" s="33"/>
    </row>
    <row r="184" spans="1:2">
      <c r="A184" s="33"/>
      <c r="B184" s="35"/>
    </row>
    <row r="185" spans="1:2">
      <c r="A185" s="35"/>
      <c r="B185" s="41"/>
    </row>
    <row r="186" spans="1:2">
      <c r="A186" s="41"/>
      <c r="B186" s="37"/>
    </row>
    <row r="187" spans="1:2">
      <c r="A187" s="37"/>
      <c r="B187" s="37"/>
    </row>
    <row r="188" spans="1:2">
      <c r="A188" s="37"/>
      <c r="B188" s="38"/>
    </row>
    <row r="189" spans="1:2">
      <c r="A189" s="38"/>
      <c r="B189" s="37"/>
    </row>
    <row r="190" spans="1:2">
      <c r="A190" s="37"/>
      <c r="B190" s="39"/>
    </row>
    <row r="191" spans="1:2">
      <c r="A191" s="39"/>
      <c r="B191" s="40"/>
    </row>
    <row r="192" spans="1:2">
      <c r="A192" s="40"/>
      <c r="B192" s="33"/>
    </row>
    <row r="193" spans="1:2">
      <c r="A193" s="33"/>
      <c r="B193" s="34"/>
    </row>
    <row r="194" spans="1:2">
      <c r="A194" s="34"/>
      <c r="B194" s="34"/>
    </row>
    <row r="195" spans="1:2">
      <c r="A195" s="34"/>
      <c r="B195" s="33"/>
    </row>
    <row r="196" spans="1:2">
      <c r="A196" s="33"/>
      <c r="B196" s="35"/>
    </row>
    <row r="197" spans="1:2">
      <c r="A197" s="35"/>
      <c r="B197" s="41"/>
    </row>
    <row r="198" spans="1:2">
      <c r="A198" s="41"/>
      <c r="B198" s="37"/>
    </row>
    <row r="199" spans="1:2">
      <c r="A199" s="37"/>
      <c r="B199" s="37"/>
    </row>
    <row r="200" spans="1:2">
      <c r="A200" s="37"/>
      <c r="B200" s="38"/>
    </row>
    <row r="201" spans="1:2">
      <c r="A201" s="38"/>
      <c r="B201" s="37"/>
    </row>
    <row r="202" spans="1:2">
      <c r="A202" s="37"/>
      <c r="B202" s="37"/>
    </row>
    <row r="203" spans="1:2">
      <c r="A203" s="37"/>
      <c r="B203" s="33"/>
    </row>
    <row r="204" spans="1:2">
      <c r="A204" s="33"/>
      <c r="B204" s="34"/>
    </row>
    <row r="205" spans="1:2">
      <c r="A205" s="34"/>
      <c r="B205" s="34"/>
    </row>
    <row r="206" spans="1:2">
      <c r="A206" s="34"/>
      <c r="B206" s="33"/>
    </row>
    <row r="207" spans="1:2">
      <c r="A207" s="33"/>
      <c r="B207" s="35"/>
    </row>
    <row r="208" spans="1:2">
      <c r="A208" s="35"/>
      <c r="B208" s="41"/>
    </row>
    <row r="209" spans="1:2">
      <c r="A209" s="41"/>
      <c r="B209" s="37"/>
    </row>
    <row r="210" spans="1:2">
      <c r="A210" s="37"/>
      <c r="B210" s="37"/>
    </row>
    <row r="211" spans="1:2">
      <c r="A211" s="37"/>
      <c r="B211" s="38"/>
    </row>
    <row r="212" spans="1:2">
      <c r="A212" s="38"/>
      <c r="B212" s="37"/>
    </row>
    <row r="213" spans="1:2">
      <c r="A213" s="37"/>
      <c r="B213" s="37"/>
    </row>
    <row r="214" spans="1:2">
      <c r="A214" s="37"/>
      <c r="B214" s="40"/>
    </row>
    <row r="215" spans="1:2">
      <c r="A215" s="40"/>
      <c r="B215" s="33"/>
    </row>
    <row r="216" spans="1:2">
      <c r="A216" s="33"/>
      <c r="B216" s="34"/>
    </row>
    <row r="217" spans="1:2">
      <c r="A217" s="34"/>
      <c r="B217" s="34"/>
    </row>
    <row r="218" spans="1:2">
      <c r="A218" s="34"/>
      <c r="B218" s="33"/>
    </row>
    <row r="219" spans="1:2">
      <c r="A219" s="33"/>
      <c r="B219" s="35"/>
    </row>
    <row r="220" spans="1:2">
      <c r="A220" s="35"/>
      <c r="B220" s="41"/>
    </row>
    <row r="221" spans="1:2">
      <c r="A221" s="41"/>
      <c r="B221" s="37"/>
    </row>
    <row r="222" spans="1:2">
      <c r="A222" s="37"/>
      <c r="B222" s="37"/>
    </row>
    <row r="223" spans="1:2">
      <c r="A223" s="37"/>
      <c r="B223" s="38"/>
    </row>
    <row r="224" spans="1:2">
      <c r="A224" s="38"/>
      <c r="B224" s="37"/>
    </row>
    <row r="225" spans="1:2">
      <c r="A225" s="37"/>
      <c r="B225" s="37"/>
    </row>
    <row r="226" spans="1:2">
      <c r="A226" s="37"/>
      <c r="B226" s="33"/>
    </row>
    <row r="227" spans="1:2">
      <c r="A227" s="33"/>
      <c r="B227" s="34"/>
    </row>
    <row r="228" spans="1:2">
      <c r="A228" s="34"/>
      <c r="B228" s="34"/>
    </row>
    <row r="229" spans="1:2">
      <c r="A229" s="34"/>
      <c r="B229" s="33"/>
    </row>
    <row r="230" spans="1:2">
      <c r="A230" s="33"/>
      <c r="B230" s="35"/>
    </row>
    <row r="231" spans="1:2">
      <c r="A231" s="35"/>
      <c r="B231" s="36"/>
    </row>
    <row r="232" spans="1:2">
      <c r="A232" s="36"/>
      <c r="B232" s="37"/>
    </row>
    <row r="233" spans="1:2">
      <c r="A233" s="37"/>
      <c r="B233" s="37"/>
    </row>
    <row r="234" spans="1:2">
      <c r="A234" s="37"/>
      <c r="B234" s="38"/>
    </row>
    <row r="235" spans="1:2">
      <c r="A235" s="38"/>
      <c r="B235" s="37"/>
    </row>
    <row r="236" spans="1:2">
      <c r="A236" s="37"/>
      <c r="B236" s="39"/>
    </row>
    <row r="237" spans="1:2">
      <c r="A237" s="39"/>
      <c r="B237" s="40"/>
    </row>
    <row r="238" spans="1:2">
      <c r="A238" s="40"/>
      <c r="B238" s="33"/>
    </row>
    <row r="239" spans="1:2">
      <c r="A239" s="33"/>
      <c r="B239" s="34"/>
    </row>
    <row r="240" spans="1:2">
      <c r="A240" s="34"/>
      <c r="B240" s="34"/>
    </row>
    <row r="241" spans="1:2">
      <c r="A241" s="34"/>
      <c r="B241" s="33"/>
    </row>
    <row r="242" spans="1:2">
      <c r="A242" s="33"/>
      <c r="B242" s="35"/>
    </row>
    <row r="243" spans="1:2">
      <c r="A243" s="35"/>
      <c r="B243" s="41"/>
    </row>
    <row r="244" spans="1:2">
      <c r="A244" s="41"/>
      <c r="B244" s="37"/>
    </row>
    <row r="245" spans="1:2">
      <c r="A245" s="37"/>
      <c r="B245" s="37"/>
    </row>
    <row r="246" spans="1:2">
      <c r="A246" s="37"/>
      <c r="B246" s="38"/>
    </row>
    <row r="247" spans="1:2">
      <c r="A247" s="38"/>
      <c r="B247" s="37"/>
    </row>
    <row r="248" spans="1:2">
      <c r="A248" s="37"/>
      <c r="B248" s="37"/>
    </row>
    <row r="249" spans="1:2">
      <c r="A249" s="37"/>
      <c r="B249" s="33"/>
    </row>
    <row r="250" spans="1:2">
      <c r="A250" s="33"/>
      <c r="B250" s="34"/>
    </row>
    <row r="251" spans="1:2">
      <c r="A251" s="34"/>
      <c r="B251" s="34"/>
    </row>
    <row r="252" spans="1:2">
      <c r="A252" s="34"/>
      <c r="B252" s="33"/>
    </row>
    <row r="253" spans="1:2">
      <c r="A253" s="33"/>
      <c r="B253" s="35"/>
    </row>
    <row r="254" spans="1:2">
      <c r="A254" s="35"/>
      <c r="B254" s="41"/>
    </row>
    <row r="255" spans="1:2">
      <c r="A255" s="41"/>
      <c r="B255" s="37"/>
    </row>
    <row r="256" spans="1:2">
      <c r="A256" s="37"/>
      <c r="B256" s="37"/>
    </row>
    <row r="257" spans="1:2">
      <c r="A257" s="37"/>
      <c r="B257" s="38"/>
    </row>
    <row r="258" spans="1:2">
      <c r="A258" s="38"/>
      <c r="B258" s="37"/>
    </row>
    <row r="259" spans="1:2">
      <c r="A259" s="37"/>
      <c r="B259" s="37"/>
    </row>
    <row r="260" spans="1:2">
      <c r="A260" s="37"/>
      <c r="B260" s="40"/>
    </row>
    <row r="261" spans="1:2">
      <c r="A261" s="40"/>
      <c r="B261" s="33"/>
    </row>
    <row r="262" spans="1:2">
      <c r="A262" s="33"/>
      <c r="B262" s="34"/>
    </row>
    <row r="263" spans="1:2">
      <c r="A263" s="34"/>
      <c r="B263" s="34"/>
    </row>
    <row r="264" spans="1:2">
      <c r="A264" s="34"/>
      <c r="B264" s="33"/>
    </row>
    <row r="265" spans="1:2">
      <c r="A265" s="33"/>
      <c r="B265" s="35"/>
    </row>
    <row r="266" spans="1:2">
      <c r="A266" s="35"/>
      <c r="B266" s="41"/>
    </row>
    <row r="267" spans="1:2">
      <c r="A267" s="41"/>
      <c r="B267" s="37"/>
    </row>
    <row r="268" spans="1:2">
      <c r="A268" s="37"/>
      <c r="B268" s="37"/>
    </row>
    <row r="269" spans="1:2">
      <c r="A269" s="37"/>
      <c r="B269" s="38"/>
    </row>
    <row r="270" spans="1:2">
      <c r="A270" s="38"/>
      <c r="B270" s="37"/>
    </row>
    <row r="271" spans="1:2">
      <c r="A271" s="37"/>
      <c r="B271" s="37"/>
    </row>
    <row r="272" spans="1:2">
      <c r="A272" s="37"/>
      <c r="B272" s="33"/>
    </row>
    <row r="273" spans="1:2">
      <c r="A273" s="33"/>
      <c r="B273" s="34"/>
    </row>
    <row r="274" spans="1:2">
      <c r="A274" s="34"/>
      <c r="B274" s="34"/>
    </row>
    <row r="275" spans="1:2">
      <c r="A275" s="34"/>
      <c r="B275" s="33"/>
    </row>
    <row r="276" spans="1:2">
      <c r="A276" s="33"/>
      <c r="B276" s="35"/>
    </row>
    <row r="277" spans="1:2">
      <c r="A277" s="35"/>
      <c r="B277" s="41"/>
    </row>
    <row r="278" spans="1:2">
      <c r="A278" s="41"/>
      <c r="B278" s="37"/>
    </row>
    <row r="279" spans="1:2">
      <c r="A279" s="37"/>
      <c r="B279" s="37"/>
    </row>
    <row r="280" spans="1:2">
      <c r="A280" s="37"/>
      <c r="B280" s="38"/>
    </row>
    <row r="281" spans="1:2">
      <c r="A281" s="38"/>
      <c r="B281" s="37"/>
    </row>
    <row r="282" spans="1:2">
      <c r="A282" s="37"/>
      <c r="B282" s="37"/>
    </row>
    <row r="283" spans="1:2">
      <c r="A283" s="37"/>
      <c r="B283" s="40"/>
    </row>
    <row r="284" spans="1:2">
      <c r="A284" s="40"/>
      <c r="B284" s="33"/>
    </row>
    <row r="285" spans="1:2">
      <c r="A285" s="33"/>
      <c r="B285" s="34"/>
    </row>
    <row r="286" spans="1:2">
      <c r="A286" s="34"/>
      <c r="B286" s="34"/>
    </row>
    <row r="287" spans="1:2">
      <c r="A287" s="34"/>
      <c r="B287" s="33"/>
    </row>
    <row r="288" spans="1:2">
      <c r="A288" s="33"/>
      <c r="B288" s="35"/>
    </row>
    <row r="289" spans="1:2">
      <c r="A289" s="35"/>
      <c r="B289" s="41"/>
    </row>
    <row r="290" spans="1:2">
      <c r="A290" s="41"/>
      <c r="B290" s="37"/>
    </row>
    <row r="291" spans="1:2">
      <c r="A291" s="37"/>
      <c r="B291" s="37"/>
    </row>
    <row r="292" spans="1:2">
      <c r="A292" s="37"/>
      <c r="B292" s="38"/>
    </row>
    <row r="293" spans="1:2">
      <c r="A293" s="38"/>
      <c r="B293" s="37"/>
    </row>
    <row r="294" spans="1:2">
      <c r="A294" s="37"/>
      <c r="B294" s="37"/>
    </row>
    <row r="295" spans="1:2">
      <c r="A295" s="37"/>
      <c r="B295" s="33"/>
    </row>
    <row r="296" spans="1:2">
      <c r="A296" s="33"/>
      <c r="B296" s="34"/>
    </row>
    <row r="297" spans="1:2">
      <c r="A297" s="34"/>
      <c r="B297" s="34"/>
    </row>
    <row r="298" spans="1:2">
      <c r="A298" s="34"/>
      <c r="B298" s="33"/>
    </row>
    <row r="299" spans="1:2">
      <c r="A299" s="33"/>
      <c r="B299" s="35"/>
    </row>
    <row r="300" spans="1:2">
      <c r="A300" s="35"/>
      <c r="B300" s="41"/>
    </row>
    <row r="301" spans="1:2">
      <c r="A301" s="41"/>
      <c r="B301" s="37"/>
    </row>
    <row r="302" spans="1:2">
      <c r="A302" s="37"/>
      <c r="B302" s="37"/>
    </row>
    <row r="303" spans="1:2">
      <c r="A303" s="37"/>
      <c r="B303" s="38"/>
    </row>
    <row r="304" spans="1:2">
      <c r="A304" s="38"/>
      <c r="B304" s="37"/>
    </row>
    <row r="305" spans="1:2">
      <c r="A305" s="37"/>
      <c r="B305" s="37"/>
    </row>
    <row r="306" spans="1:2">
      <c r="A306" s="37"/>
      <c r="B306" s="40"/>
    </row>
    <row r="307" spans="1:2">
      <c r="A307" s="40"/>
      <c r="B307" s="33"/>
    </row>
    <row r="308" spans="1:2">
      <c r="A308" s="33"/>
      <c r="B308" s="34"/>
    </row>
    <row r="309" spans="1:2">
      <c r="A309" s="34"/>
      <c r="B309" s="34"/>
    </row>
    <row r="310" spans="1:2">
      <c r="A310" s="34"/>
      <c r="B310" s="33"/>
    </row>
    <row r="311" spans="1:2">
      <c r="A311" s="33"/>
      <c r="B311" s="35"/>
    </row>
    <row r="312" spans="1:2">
      <c r="A312" s="35"/>
      <c r="B312" s="41"/>
    </row>
    <row r="313" spans="1:2">
      <c r="A313" s="41"/>
      <c r="B313" s="37"/>
    </row>
    <row r="314" spans="1:2">
      <c r="A314" s="37"/>
      <c r="B314" s="37"/>
    </row>
    <row r="315" spans="1:2">
      <c r="A315" s="37"/>
      <c r="B315" s="38"/>
    </row>
    <row r="316" spans="1:2">
      <c r="A316" s="38"/>
      <c r="B316" s="37"/>
    </row>
    <row r="317" spans="1:2">
      <c r="A317" s="37"/>
      <c r="B317" s="37"/>
    </row>
    <row r="318" spans="1:2">
      <c r="A318" s="37"/>
      <c r="B318" s="33"/>
    </row>
    <row r="319" spans="1:2">
      <c r="A319" s="33"/>
      <c r="B319" s="34"/>
    </row>
    <row r="320" spans="1:2">
      <c r="A320" s="34"/>
      <c r="B320" s="34"/>
    </row>
    <row r="321" spans="1:2">
      <c r="A321" s="34"/>
      <c r="B321" s="33"/>
    </row>
    <row r="322" spans="1:2">
      <c r="A322" s="33"/>
      <c r="B322" s="35"/>
    </row>
    <row r="323" spans="1:2">
      <c r="A323" s="35"/>
      <c r="B323" s="41"/>
    </row>
    <row r="324" spans="1:2">
      <c r="A324" s="41"/>
      <c r="B324" s="37"/>
    </row>
    <row r="325" spans="1:2">
      <c r="A325" s="37"/>
      <c r="B325" s="37"/>
    </row>
    <row r="326" spans="1:2">
      <c r="A326" s="37"/>
      <c r="B326" s="38"/>
    </row>
    <row r="327" spans="1:2">
      <c r="A327" s="38"/>
      <c r="B327" s="37"/>
    </row>
    <row r="328" spans="1:2">
      <c r="A328" s="37"/>
      <c r="B328" s="37"/>
    </row>
    <row r="329" spans="1:2">
      <c r="A329" s="37"/>
      <c r="B329" s="40"/>
    </row>
    <row r="330" spans="1:2">
      <c r="A330" s="40"/>
      <c r="B330" s="33"/>
    </row>
    <row r="331" spans="1:2">
      <c r="A331" s="33"/>
      <c r="B331" s="34"/>
    </row>
    <row r="332" spans="1:2">
      <c r="A332" s="34"/>
      <c r="B332" s="34"/>
    </row>
    <row r="333" spans="1:2">
      <c r="A333" s="34"/>
      <c r="B333" s="33"/>
    </row>
    <row r="334" spans="1:2">
      <c r="A334" s="33"/>
      <c r="B334" s="35"/>
    </row>
    <row r="335" spans="1:2">
      <c r="A335" s="35"/>
      <c r="B335" s="41"/>
    </row>
    <row r="336" spans="1:2">
      <c r="A336" s="41"/>
      <c r="B336" s="37"/>
    </row>
    <row r="337" spans="1:2">
      <c r="A337" s="37"/>
      <c r="B337" s="37"/>
    </row>
    <row r="338" spans="1:2">
      <c r="A338" s="37"/>
      <c r="B338" s="38"/>
    </row>
    <row r="339" spans="1:2">
      <c r="A339" s="38"/>
      <c r="B339" s="37"/>
    </row>
    <row r="340" spans="1:2">
      <c r="A340" s="37"/>
      <c r="B340" s="37"/>
    </row>
    <row r="341" spans="1:2">
      <c r="A341" s="37"/>
      <c r="B341" s="33"/>
    </row>
    <row r="342" spans="1:2">
      <c r="A342" s="33"/>
      <c r="B342" s="34"/>
    </row>
    <row r="343" spans="1:2">
      <c r="A343" s="34"/>
      <c r="B343" s="34"/>
    </row>
    <row r="344" spans="1:2">
      <c r="A344" s="34"/>
      <c r="B344" s="33"/>
    </row>
    <row r="345" spans="1:2">
      <c r="A345" s="33"/>
      <c r="B345" s="35"/>
    </row>
    <row r="346" spans="1:2">
      <c r="A346" s="35"/>
      <c r="B346" s="42"/>
    </row>
    <row r="347" spans="1:2">
      <c r="A347" s="42"/>
      <c r="B347" s="37"/>
    </row>
    <row r="348" spans="1:2">
      <c r="A348" s="37"/>
      <c r="B348" s="37"/>
    </row>
    <row r="349" spans="1:2">
      <c r="A349" s="37"/>
      <c r="B349" s="38"/>
    </row>
    <row r="350" spans="1:2">
      <c r="A350" s="38"/>
      <c r="B350" s="37"/>
    </row>
    <row r="351" spans="1:2">
      <c r="A351" s="37"/>
      <c r="B351" s="39"/>
    </row>
    <row r="352" spans="1:2">
      <c r="A352" s="39"/>
      <c r="B352" s="40"/>
    </row>
    <row r="353" spans="1:2">
      <c r="A353" s="40"/>
      <c r="B353" s="33"/>
    </row>
    <row r="354" spans="1:2">
      <c r="A354" s="33"/>
      <c r="B354" s="34"/>
    </row>
    <row r="355" spans="1:2">
      <c r="A355" s="34"/>
      <c r="B355" s="34"/>
    </row>
    <row r="356" spans="1:2">
      <c r="A356" s="34"/>
      <c r="B356" s="33"/>
    </row>
    <row r="357" spans="1:2">
      <c r="A357" s="33"/>
      <c r="B357" s="35"/>
    </row>
    <row r="358" spans="1:2">
      <c r="A358" s="35"/>
      <c r="B358" s="41"/>
    </row>
    <row r="359" spans="1:2">
      <c r="A359" s="41"/>
      <c r="B359" s="37"/>
    </row>
    <row r="360" spans="1:2">
      <c r="A360" s="37"/>
      <c r="B360" s="37"/>
    </row>
    <row r="361" spans="1:2">
      <c r="A361" s="37"/>
      <c r="B361" s="38"/>
    </row>
    <row r="362" spans="1:2">
      <c r="A362" s="38"/>
      <c r="B362" s="37"/>
    </row>
    <row r="363" spans="1:2">
      <c r="A363" s="37"/>
      <c r="B363" s="37"/>
    </row>
    <row r="364" spans="1:2">
      <c r="A364" s="37"/>
      <c r="B364" s="33"/>
    </row>
    <row r="365" spans="1:2">
      <c r="A365" s="33"/>
      <c r="B365" s="34"/>
    </row>
    <row r="366" spans="1:2">
      <c r="A366" s="34"/>
      <c r="B366" s="34"/>
    </row>
    <row r="367" spans="1:2">
      <c r="A367" s="34"/>
      <c r="B367" s="33"/>
    </row>
    <row r="368" spans="1:2">
      <c r="A368" s="33"/>
      <c r="B368" s="35"/>
    </row>
    <row r="369" spans="1:2">
      <c r="A369" s="35"/>
      <c r="B369" s="41"/>
    </row>
    <row r="370" spans="1:2">
      <c r="A370" s="41"/>
      <c r="B370" s="37"/>
    </row>
    <row r="371" spans="1:2">
      <c r="A371" s="37"/>
      <c r="B371" s="37"/>
    </row>
    <row r="372" spans="1:2">
      <c r="A372" s="37"/>
      <c r="B372" s="38"/>
    </row>
    <row r="373" spans="1:2">
      <c r="A373" s="38"/>
      <c r="B373" s="37"/>
    </row>
    <row r="374" spans="1:2">
      <c r="A374" s="37"/>
      <c r="B374" s="37"/>
    </row>
    <row r="375" spans="1:2">
      <c r="A375" s="37"/>
      <c r="B375" s="40"/>
    </row>
    <row r="376" spans="1:2">
      <c r="A376" s="40"/>
      <c r="B376" s="33"/>
    </row>
    <row r="377" spans="1:2">
      <c r="A377" s="33"/>
      <c r="B377" s="34"/>
    </row>
    <row r="378" spans="1:2">
      <c r="A378" s="34"/>
      <c r="B378" s="34"/>
    </row>
    <row r="379" spans="1:2">
      <c r="A379" s="34"/>
      <c r="B379" s="33"/>
    </row>
    <row r="380" spans="1:2">
      <c r="A380" s="33"/>
      <c r="B380" s="35"/>
    </row>
    <row r="381" spans="1:2">
      <c r="A381" s="35"/>
      <c r="B381" s="41"/>
    </row>
    <row r="382" spans="1:2">
      <c r="A382" s="41"/>
      <c r="B382" s="37"/>
    </row>
    <row r="383" spans="1:2">
      <c r="A383" s="37"/>
      <c r="B383" s="37"/>
    </row>
    <row r="384" spans="1:2">
      <c r="A384" s="37"/>
      <c r="B384" s="38"/>
    </row>
    <row r="385" spans="1:2">
      <c r="A385" s="38"/>
      <c r="B385" s="37"/>
    </row>
    <row r="386" spans="1:2">
      <c r="A386" s="37"/>
      <c r="B386" s="37"/>
    </row>
    <row r="387" spans="1:2">
      <c r="A387" s="37"/>
      <c r="B387" s="33"/>
    </row>
    <row r="388" spans="1:2">
      <c r="A388" s="33"/>
      <c r="B388" s="34"/>
    </row>
    <row r="389" spans="1:2">
      <c r="A389" s="34"/>
      <c r="B389" s="34"/>
    </row>
    <row r="390" spans="1:2">
      <c r="A390" s="34"/>
      <c r="B390" s="33"/>
    </row>
    <row r="391" spans="1:2">
      <c r="A391" s="33"/>
      <c r="B391" s="35"/>
    </row>
    <row r="392" spans="1:2">
      <c r="A392" s="35"/>
      <c r="B392" s="41"/>
    </row>
    <row r="393" spans="1:2">
      <c r="A393" s="41"/>
      <c r="B393" s="37"/>
    </row>
    <row r="394" spans="1:2">
      <c r="A394" s="37"/>
      <c r="B394" s="37"/>
    </row>
    <row r="395" spans="1:2">
      <c r="A395" s="37"/>
      <c r="B395" s="38"/>
    </row>
    <row r="396" spans="1:2">
      <c r="A396" s="38"/>
      <c r="B396" s="37"/>
    </row>
    <row r="397" spans="1:2">
      <c r="A397" s="37"/>
      <c r="B397" s="37"/>
    </row>
    <row r="398" spans="1:2">
      <c r="A398" s="37"/>
      <c r="B398" s="40"/>
    </row>
    <row r="399" spans="1:2">
      <c r="A399" s="40"/>
      <c r="B399" s="33"/>
    </row>
    <row r="400" spans="1:2">
      <c r="A400" s="33"/>
      <c r="B400" s="34"/>
    </row>
    <row r="401" spans="1:2">
      <c r="A401" s="34"/>
      <c r="B401" s="34"/>
    </row>
    <row r="402" spans="1:2">
      <c r="A402" s="34"/>
      <c r="B402" s="33"/>
    </row>
    <row r="403" spans="1:2">
      <c r="A403" s="33"/>
      <c r="B403" s="35"/>
    </row>
    <row r="404" spans="1:2">
      <c r="A404" s="35"/>
      <c r="B404" s="41"/>
    </row>
    <row r="405" spans="1:2">
      <c r="A405" s="41"/>
      <c r="B405" s="37"/>
    </row>
    <row r="406" spans="1:2">
      <c r="A406" s="37"/>
      <c r="B406" s="37"/>
    </row>
    <row r="407" spans="1:2">
      <c r="A407" s="37"/>
      <c r="B407" s="38"/>
    </row>
    <row r="408" spans="1:2">
      <c r="A408" s="38"/>
      <c r="B408" s="37"/>
    </row>
    <row r="409" spans="1:2">
      <c r="A409" s="37"/>
      <c r="B409" s="37"/>
    </row>
    <row r="410" spans="1:2">
      <c r="A410" s="37"/>
      <c r="B410" s="33"/>
    </row>
    <row r="411" spans="1:2">
      <c r="A411" s="33"/>
      <c r="B411" s="34"/>
    </row>
    <row r="412" spans="1:2">
      <c r="A412" s="34"/>
      <c r="B412" s="34"/>
    </row>
    <row r="413" spans="1:2">
      <c r="A413" s="34"/>
      <c r="B413" s="33"/>
    </row>
    <row r="414" spans="1:2">
      <c r="A414" s="33"/>
      <c r="B414" s="35"/>
    </row>
    <row r="415" spans="1:2">
      <c r="A415" s="35"/>
      <c r="B415" s="41"/>
    </row>
    <row r="416" spans="1:2">
      <c r="A416" s="41"/>
      <c r="B416" s="37"/>
    </row>
    <row r="417" spans="1:2">
      <c r="A417" s="37"/>
      <c r="B417" s="37"/>
    </row>
    <row r="418" spans="1:2">
      <c r="A418" s="37"/>
      <c r="B418" s="38"/>
    </row>
    <row r="419" spans="1:2">
      <c r="A419" s="38"/>
      <c r="B419" s="37"/>
    </row>
    <row r="420" spans="1:2">
      <c r="A420" s="37"/>
      <c r="B420" s="37"/>
    </row>
    <row r="421" spans="1:2">
      <c r="A421" s="37"/>
      <c r="B421" s="40"/>
    </row>
    <row r="422" spans="1:2">
      <c r="A422" s="40"/>
      <c r="B422" s="33"/>
    </row>
    <row r="423" spans="1:2">
      <c r="A423" s="33"/>
      <c r="B423" s="34"/>
    </row>
    <row r="424" spans="1:2">
      <c r="A424" s="34"/>
      <c r="B424" s="34"/>
    </row>
    <row r="425" spans="1:2">
      <c r="A425" s="34"/>
      <c r="B425" s="33"/>
    </row>
    <row r="426" spans="1:2">
      <c r="A426" s="33"/>
      <c r="B426" s="35"/>
    </row>
    <row r="427" spans="1:2">
      <c r="A427" s="35"/>
      <c r="B427" s="41"/>
    </row>
    <row r="428" spans="1:2">
      <c r="A428" s="41"/>
      <c r="B428" s="37"/>
    </row>
    <row r="429" spans="1:2">
      <c r="A429" s="37"/>
      <c r="B429" s="37"/>
    </row>
    <row r="430" spans="1:2">
      <c r="A430" s="37"/>
      <c r="B430" s="38"/>
    </row>
    <row r="431" spans="1:2">
      <c r="A431" s="38"/>
      <c r="B431" s="37"/>
    </row>
    <row r="432" spans="1:2">
      <c r="A432" s="37"/>
      <c r="B432" s="37"/>
    </row>
    <row r="433" spans="1:2">
      <c r="A433" s="37"/>
      <c r="B433" s="33"/>
    </row>
    <row r="434" spans="1:2">
      <c r="A434" s="33"/>
      <c r="B434" s="34"/>
    </row>
    <row r="435" spans="1:2">
      <c r="A435" s="34"/>
      <c r="B435" s="34"/>
    </row>
    <row r="436" spans="1:2">
      <c r="A436" s="34"/>
      <c r="B436" s="33"/>
    </row>
    <row r="437" spans="1:2">
      <c r="A437" s="33"/>
      <c r="B437" s="35"/>
    </row>
    <row r="438" spans="1:2">
      <c r="A438" s="35"/>
      <c r="B438" s="41"/>
    </row>
    <row r="439" spans="1:2">
      <c r="A439" s="41"/>
      <c r="B439" s="37"/>
    </row>
    <row r="440" spans="1:2">
      <c r="A440" s="37"/>
      <c r="B440" s="37"/>
    </row>
    <row r="441" spans="1:2">
      <c r="A441" s="37"/>
      <c r="B441" s="38"/>
    </row>
    <row r="442" spans="1:2">
      <c r="A442" s="38"/>
      <c r="B442" s="37"/>
    </row>
    <row r="443" spans="1:2">
      <c r="A443" s="37"/>
      <c r="B443" s="37"/>
    </row>
    <row r="444" spans="1:2">
      <c r="A444" s="37"/>
      <c r="B444" s="40"/>
    </row>
    <row r="445" spans="1:2">
      <c r="A445" s="40"/>
      <c r="B445" s="33"/>
    </row>
    <row r="446" spans="1:2">
      <c r="A446" s="33"/>
      <c r="B446" s="34"/>
    </row>
    <row r="447" spans="1:2">
      <c r="A447" s="34"/>
      <c r="B447" s="34"/>
    </row>
    <row r="448" spans="1:2">
      <c r="A448" s="34"/>
      <c r="B448" s="33"/>
    </row>
    <row r="449" spans="1:2">
      <c r="A449" s="33"/>
      <c r="B449" s="35"/>
    </row>
    <row r="450" spans="1:2">
      <c r="A450" s="35"/>
      <c r="B450" s="41"/>
    </row>
    <row r="451" spans="1:2">
      <c r="A451" s="41"/>
      <c r="B451" s="37"/>
    </row>
    <row r="452" spans="1:2">
      <c r="A452" s="37"/>
      <c r="B452" s="37"/>
    </row>
    <row r="453" spans="1:2">
      <c r="A453" s="37"/>
      <c r="B453" s="38"/>
    </row>
    <row r="454" spans="1:2">
      <c r="A454" s="38"/>
      <c r="B454" s="37"/>
    </row>
    <row r="455" spans="1:2">
      <c r="A455" s="37"/>
      <c r="B455" s="37"/>
    </row>
    <row r="456" spans="1:2">
      <c r="A456" s="37"/>
      <c r="B456" s="33"/>
    </row>
    <row r="457" spans="1:2">
      <c r="A457" s="33"/>
      <c r="B457" s="34"/>
    </row>
    <row r="458" spans="1:2">
      <c r="A458" s="34"/>
      <c r="B458" s="34"/>
    </row>
    <row r="459" spans="1:2">
      <c r="A459" s="34"/>
      <c r="B459" s="33"/>
    </row>
    <row r="460" spans="1:2">
      <c r="A460" s="33"/>
      <c r="B460" s="35"/>
    </row>
    <row r="461" spans="1:2">
      <c r="A461" s="35"/>
      <c r="B461" s="41"/>
    </row>
    <row r="462" spans="1:2">
      <c r="A462" s="41"/>
      <c r="B462" s="37"/>
    </row>
    <row r="463" spans="1:2">
      <c r="A463" s="37"/>
      <c r="B463" s="37"/>
    </row>
    <row r="464" spans="1:2">
      <c r="A464" s="37"/>
      <c r="B464" s="38"/>
    </row>
    <row r="465" spans="1:2">
      <c r="A465" s="38"/>
      <c r="B465" s="37"/>
    </row>
    <row r="466" spans="1:2">
      <c r="A466" s="37"/>
      <c r="B466" s="37"/>
    </row>
    <row r="467" spans="1:2">
      <c r="A467" s="37"/>
      <c r="B467" s="40"/>
    </row>
    <row r="468" spans="1:2">
      <c r="A468" s="40"/>
      <c r="B468" s="33"/>
    </row>
    <row r="469" spans="1:2">
      <c r="A469" s="33"/>
      <c r="B469" s="34"/>
    </row>
    <row r="470" spans="1:2">
      <c r="A470" s="34"/>
      <c r="B470" s="34"/>
    </row>
    <row r="471" spans="1:2">
      <c r="A471" s="34"/>
      <c r="B471" s="33"/>
    </row>
    <row r="472" spans="1:2">
      <c r="A472" s="33"/>
      <c r="B472" s="35"/>
    </row>
    <row r="473" spans="1:2">
      <c r="A473" s="35"/>
      <c r="B473" s="41"/>
    </row>
    <row r="474" spans="1:2">
      <c r="A474" s="41"/>
      <c r="B474" s="37"/>
    </row>
    <row r="475" spans="1:2">
      <c r="A475" s="37"/>
      <c r="B475" s="37"/>
    </row>
    <row r="476" spans="1:2">
      <c r="A476" s="37"/>
      <c r="B476" s="38"/>
    </row>
    <row r="477" spans="1:2">
      <c r="A477" s="38"/>
      <c r="B477" s="37"/>
    </row>
    <row r="478" spans="1:2">
      <c r="A478" s="37"/>
      <c r="B478" s="37"/>
    </row>
    <row r="479" spans="1:2">
      <c r="A479" s="37"/>
      <c r="B479" s="33"/>
    </row>
    <row r="480" spans="1:2">
      <c r="A480" s="33"/>
      <c r="B480" s="34"/>
    </row>
    <row r="481" spans="1:2">
      <c r="A481" s="34"/>
      <c r="B481" s="34"/>
    </row>
    <row r="482" spans="1:2">
      <c r="A482" s="34"/>
      <c r="B482" s="33"/>
    </row>
    <row r="483" spans="1:2">
      <c r="A483" s="33"/>
      <c r="B483" s="35"/>
    </row>
    <row r="484" spans="1:2">
      <c r="A484" s="35"/>
      <c r="B484" s="41"/>
    </row>
    <row r="485" spans="1:2">
      <c r="A485" s="41"/>
      <c r="B485" s="37"/>
    </row>
    <row r="486" spans="1:2">
      <c r="A486" s="37"/>
      <c r="B486" s="37"/>
    </row>
    <row r="487" spans="1:2">
      <c r="A487" s="37"/>
      <c r="B487" s="38"/>
    </row>
    <row r="488" spans="1:2">
      <c r="A488" s="38"/>
      <c r="B488" s="37"/>
    </row>
    <row r="489" spans="1:2">
      <c r="A489" s="37"/>
      <c r="B489" s="37"/>
    </row>
    <row r="490" spans="1:2">
      <c r="A490" s="37"/>
      <c r="B490" s="40"/>
    </row>
    <row r="491" spans="1:2">
      <c r="A491" s="40"/>
      <c r="B491" s="33"/>
    </row>
    <row r="492" spans="1:2">
      <c r="A492" s="33"/>
      <c r="B492" s="34"/>
    </row>
    <row r="493" spans="1:2">
      <c r="A493" s="34"/>
      <c r="B493" s="34"/>
    </row>
    <row r="494" spans="1:2">
      <c r="A494" s="34"/>
      <c r="B494" s="33"/>
    </row>
    <row r="495" spans="1:2">
      <c r="A495" s="33"/>
      <c r="B495" s="35"/>
    </row>
    <row r="496" spans="1:2">
      <c r="A496" s="35"/>
      <c r="B496" s="41"/>
    </row>
    <row r="497" spans="1:2">
      <c r="A497" s="41"/>
      <c r="B497" s="37"/>
    </row>
    <row r="498" spans="1:2">
      <c r="A498" s="37"/>
      <c r="B498" s="37"/>
    </row>
    <row r="499" spans="1:2">
      <c r="A499" s="37"/>
      <c r="B499" s="38"/>
    </row>
    <row r="500" spans="1:2">
      <c r="A500" s="38"/>
      <c r="B500" s="37"/>
    </row>
    <row r="501" spans="1:2">
      <c r="A501" s="37"/>
      <c r="B501" s="37"/>
    </row>
    <row r="502" spans="1:2">
      <c r="A502" s="37"/>
    </row>
  </sheetData>
  <mergeCells count="2">
    <mergeCell ref="A8:K8"/>
    <mergeCell ref="M8:W8"/>
  </mergeCells>
  <hyperlinks>
    <hyperlink ref="B1" r:id="rId1" xr:uid="{4A612736-3BDD-419D-BD7B-2B5C2A69C1DA}"/>
  </hyperlinks>
  <pageMargins left="0.7" right="0.7" top="0.75" bottom="0.75" header="0.3" footer="0.3"/>
  <pageSetup orientation="portrait" verticalDpi="0" r:id="rId2"/>
  <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305E3-4ACF-45C7-9583-52BB2F8E439E}">
  <sheetPr codeName="Sheet5"/>
  <dimension ref="A1:S88"/>
  <sheetViews>
    <sheetView zoomScaleNormal="100" workbookViewId="0">
      <selection activeCell="J49" sqref="J49"/>
    </sheetView>
  </sheetViews>
  <sheetFormatPr defaultRowHeight="12.75"/>
  <cols>
    <col min="2" max="2" width="11" customWidth="1"/>
    <col min="3" max="3" width="11.42578125" bestFit="1" customWidth="1"/>
    <col min="4" max="5" width="9.85546875" bestFit="1" customWidth="1"/>
    <col min="14" max="15" width="10.85546875" bestFit="1" customWidth="1"/>
  </cols>
  <sheetData>
    <row r="1" spans="1:19">
      <c r="A1" s="7" t="s">
        <v>21</v>
      </c>
      <c r="B1" s="3" t="s">
        <v>1153</v>
      </c>
      <c r="C1" s="2"/>
      <c r="D1" s="2"/>
      <c r="E1" s="2"/>
      <c r="F1" s="2"/>
    </row>
    <row r="2" spans="1:19">
      <c r="A2" s="7" t="s">
        <v>23</v>
      </c>
      <c r="B2" s="1"/>
      <c r="C2" s="2"/>
      <c r="D2" s="2"/>
      <c r="E2" s="2"/>
      <c r="F2" s="2"/>
    </row>
    <row r="3" spans="1:19">
      <c r="A3" s="7" t="s">
        <v>26</v>
      </c>
      <c r="B3" s="1" t="s">
        <v>27</v>
      </c>
      <c r="C3" s="2"/>
      <c r="D3" s="2"/>
      <c r="E3" s="2"/>
      <c r="F3" s="2"/>
    </row>
    <row r="4" spans="1:19">
      <c r="A4" s="7" t="s">
        <v>28</v>
      </c>
      <c r="B4" s="1" t="s">
        <v>86</v>
      </c>
      <c r="C4" s="2"/>
      <c r="D4" s="2"/>
      <c r="E4" s="2"/>
      <c r="F4" s="2"/>
    </row>
    <row r="5" spans="1:19">
      <c r="A5" s="7" t="s">
        <v>25</v>
      </c>
      <c r="B5" s="1" t="s">
        <v>1150</v>
      </c>
      <c r="C5" s="1"/>
      <c r="D5" s="1"/>
      <c r="E5" s="1"/>
      <c r="F5" s="1"/>
    </row>
    <row r="6" spans="1:19">
      <c r="A6" s="7" t="s">
        <v>88</v>
      </c>
      <c r="B6" s="1">
        <v>64664</v>
      </c>
      <c r="C6" s="1"/>
      <c r="D6" s="1"/>
      <c r="E6" s="87">
        <v>11533.15</v>
      </c>
      <c r="F6" s="87" t="s">
        <v>1151</v>
      </c>
    </row>
    <row r="7" spans="1:19">
      <c r="A7" s="7" t="s">
        <v>90</v>
      </c>
      <c r="B7" s="1" t="s">
        <v>1152</v>
      </c>
      <c r="C7" s="1"/>
      <c r="D7" s="1"/>
      <c r="E7" s="87" t="s">
        <v>91</v>
      </c>
      <c r="F7" s="87"/>
    </row>
    <row r="8" spans="1:19" ht="13.5" thickBot="1"/>
    <row r="9" spans="1:19" ht="13.5" thickBot="1">
      <c r="A9" s="106" t="s">
        <v>39</v>
      </c>
      <c r="B9" s="109"/>
      <c r="C9" s="109"/>
      <c r="D9" s="109"/>
      <c r="E9" s="109"/>
      <c r="F9" s="109"/>
      <c r="G9" s="109"/>
      <c r="H9" s="109"/>
      <c r="I9" s="110"/>
      <c r="K9" s="111" t="s">
        <v>33</v>
      </c>
      <c r="L9" s="111"/>
      <c r="M9" s="111"/>
      <c r="N9" s="111"/>
      <c r="O9" s="111"/>
      <c r="P9" s="111"/>
      <c r="Q9" s="111"/>
      <c r="R9" s="111"/>
      <c r="S9" s="111"/>
    </row>
    <row r="10" spans="1:19">
      <c r="A10" t="s">
        <v>34</v>
      </c>
      <c r="B10" t="s">
        <v>35</v>
      </c>
      <c r="C10" t="s">
        <v>36</v>
      </c>
      <c r="D10" t="s">
        <v>5</v>
      </c>
      <c r="E10" t="s">
        <v>6</v>
      </c>
      <c r="F10" t="s">
        <v>36</v>
      </c>
      <c r="G10" t="s">
        <v>35</v>
      </c>
      <c r="H10" t="s">
        <v>37</v>
      </c>
      <c r="I10" t="s">
        <v>38</v>
      </c>
      <c r="J10" t="s">
        <v>3</v>
      </c>
      <c r="K10" t="s">
        <v>34</v>
      </c>
      <c r="L10" t="s">
        <v>35</v>
      </c>
      <c r="M10" t="s">
        <v>36</v>
      </c>
      <c r="N10" t="s">
        <v>5</v>
      </c>
      <c r="O10" t="s">
        <v>6</v>
      </c>
      <c r="P10" t="s">
        <v>36</v>
      </c>
      <c r="Q10" t="s">
        <v>35</v>
      </c>
      <c r="R10" t="s">
        <v>37</v>
      </c>
      <c r="S10" t="s">
        <v>38</v>
      </c>
    </row>
    <row r="11" spans="1:19">
      <c r="A11">
        <v>0.8125</v>
      </c>
      <c r="B11">
        <v>18</v>
      </c>
      <c r="C11" s="25">
        <v>0</v>
      </c>
      <c r="D11">
        <v>0.8095</v>
      </c>
      <c r="E11">
        <v>0.82</v>
      </c>
      <c r="F11" s="25">
        <v>2.2010000000000001</v>
      </c>
      <c r="G11">
        <v>18</v>
      </c>
      <c r="H11" t="s">
        <v>0</v>
      </c>
      <c r="I11">
        <v>1</v>
      </c>
      <c r="J11">
        <v>12000</v>
      </c>
      <c r="K11">
        <v>5.0000000000000001E-4</v>
      </c>
      <c r="L11">
        <v>0.8</v>
      </c>
      <c r="M11" s="25">
        <v>1.5640000000000001</v>
      </c>
      <c r="N11">
        <v>5.0000000000000001E-4</v>
      </c>
      <c r="O11">
        <v>1E-3</v>
      </c>
      <c r="P11" s="25">
        <v>1.7</v>
      </c>
      <c r="Q11">
        <v>1.1000000000000001</v>
      </c>
      <c r="R11" t="s">
        <v>0</v>
      </c>
      <c r="S11">
        <v>0</v>
      </c>
    </row>
    <row r="12" spans="1:19">
      <c r="D12" s="26">
        <v>52413.58</v>
      </c>
      <c r="E12" s="26">
        <v>53093.43</v>
      </c>
      <c r="N12" s="26">
        <v>32.369999999999997</v>
      </c>
      <c r="O12" s="26">
        <v>64.75</v>
      </c>
    </row>
    <row r="13" spans="1:19">
      <c r="A13">
        <v>0.74650000000000005</v>
      </c>
      <c r="B13">
        <v>17</v>
      </c>
      <c r="C13" s="25">
        <v>0</v>
      </c>
      <c r="D13">
        <v>0.74750000000000005</v>
      </c>
      <c r="E13">
        <v>0.76</v>
      </c>
      <c r="F13" s="25">
        <v>1.9339999999999999</v>
      </c>
      <c r="G13">
        <v>17</v>
      </c>
      <c r="H13" t="s">
        <v>0</v>
      </c>
      <c r="I13">
        <v>1</v>
      </c>
      <c r="J13">
        <v>16000</v>
      </c>
      <c r="K13">
        <v>1E-3</v>
      </c>
      <c r="L13">
        <v>102.1</v>
      </c>
      <c r="M13" s="25">
        <v>1.3009999999999999</v>
      </c>
      <c r="N13">
        <v>5.0000000000000001E-4</v>
      </c>
      <c r="O13">
        <v>2E-3</v>
      </c>
      <c r="P13" s="25">
        <v>1.5569999999999999</v>
      </c>
      <c r="Q13">
        <v>65.900000000000006</v>
      </c>
      <c r="R13">
        <v>2.8</v>
      </c>
      <c r="S13">
        <v>0</v>
      </c>
    </row>
    <row r="14" spans="1:19">
      <c r="D14" s="26">
        <v>48403.12</v>
      </c>
      <c r="E14" s="26">
        <v>49212.54</v>
      </c>
      <c r="N14" s="26">
        <v>32.369999999999997</v>
      </c>
      <c r="O14" s="26">
        <v>129.5</v>
      </c>
    </row>
    <row r="15" spans="1:19">
      <c r="A15">
        <v>0.71899999999999997</v>
      </c>
      <c r="B15">
        <v>16</v>
      </c>
      <c r="C15" s="25">
        <v>0</v>
      </c>
      <c r="D15">
        <v>0.71599999999999997</v>
      </c>
      <c r="E15">
        <v>0.72950000000000004</v>
      </c>
      <c r="F15" s="25">
        <v>1.798</v>
      </c>
      <c r="G15">
        <v>16</v>
      </c>
      <c r="H15" t="s">
        <v>0</v>
      </c>
      <c r="I15">
        <v>0.99</v>
      </c>
      <c r="J15">
        <v>18000</v>
      </c>
      <c r="K15">
        <v>1.5E-3</v>
      </c>
      <c r="L15">
        <v>6</v>
      </c>
      <c r="M15" s="25">
        <v>1.3</v>
      </c>
      <c r="N15">
        <v>1E-3</v>
      </c>
      <c r="O15">
        <v>2E-3</v>
      </c>
      <c r="P15" s="25">
        <v>1.43</v>
      </c>
      <c r="Q15">
        <v>35.9</v>
      </c>
      <c r="R15">
        <v>0.2</v>
      </c>
      <c r="S15">
        <v>-0.01</v>
      </c>
    </row>
    <row r="16" spans="1:19">
      <c r="D16" s="26">
        <v>46359.63</v>
      </c>
      <c r="E16" s="26">
        <v>47233.73</v>
      </c>
      <c r="N16" s="26">
        <v>64.75</v>
      </c>
      <c r="O16" s="26">
        <v>129.5</v>
      </c>
    </row>
    <row r="17" spans="1:19">
      <c r="A17">
        <v>0.68400000000000005</v>
      </c>
      <c r="B17">
        <v>5</v>
      </c>
      <c r="C17" s="25">
        <v>0</v>
      </c>
      <c r="D17">
        <v>0.69099999999999995</v>
      </c>
      <c r="E17">
        <v>0.7</v>
      </c>
      <c r="F17" s="25">
        <v>1.718</v>
      </c>
      <c r="G17">
        <v>16</v>
      </c>
      <c r="H17" t="s">
        <v>0</v>
      </c>
      <c r="I17">
        <v>0.99</v>
      </c>
      <c r="J17">
        <v>20000</v>
      </c>
      <c r="K17">
        <v>2.5000000000000001E-3</v>
      </c>
      <c r="L17">
        <v>7</v>
      </c>
      <c r="M17" s="25">
        <v>1.264</v>
      </c>
      <c r="N17">
        <v>1.5E-3</v>
      </c>
      <c r="O17">
        <v>2.5000000000000001E-3</v>
      </c>
      <c r="P17" s="25">
        <v>1.3640000000000001</v>
      </c>
      <c r="Q17">
        <v>35.1</v>
      </c>
      <c r="R17" t="s">
        <v>0</v>
      </c>
      <c r="S17">
        <v>-0.01</v>
      </c>
    </row>
    <row r="18" spans="1:19">
      <c r="D18" s="26">
        <v>44740.93</v>
      </c>
      <c r="E18" s="26">
        <v>45323.66</v>
      </c>
      <c r="N18" s="26">
        <v>97.12</v>
      </c>
      <c r="O18" s="26">
        <v>161.87</v>
      </c>
    </row>
    <row r="19" spans="1:19">
      <c r="A19">
        <v>0.61650000000000005</v>
      </c>
      <c r="B19">
        <v>15</v>
      </c>
      <c r="C19" s="25">
        <v>0</v>
      </c>
      <c r="D19">
        <v>0.65349999999999997</v>
      </c>
      <c r="E19">
        <v>0.67</v>
      </c>
      <c r="F19" s="25">
        <v>1.621</v>
      </c>
      <c r="G19">
        <v>15</v>
      </c>
      <c r="H19" t="s">
        <v>0</v>
      </c>
      <c r="I19">
        <v>0.99</v>
      </c>
      <c r="J19">
        <v>22000</v>
      </c>
      <c r="K19">
        <v>2.5000000000000001E-3</v>
      </c>
      <c r="L19">
        <v>5.9</v>
      </c>
      <c r="M19" s="25">
        <v>1.2170000000000001</v>
      </c>
      <c r="N19">
        <v>2E-3</v>
      </c>
      <c r="O19">
        <v>3.0000000000000001E-3</v>
      </c>
      <c r="P19" s="25">
        <v>1.2969999999999999</v>
      </c>
      <c r="Q19">
        <v>53</v>
      </c>
      <c r="R19">
        <v>1.4</v>
      </c>
      <c r="S19">
        <v>-0.01</v>
      </c>
    </row>
    <row r="20" spans="1:19">
      <c r="D20" s="26">
        <v>42312.88</v>
      </c>
      <c r="E20" s="26">
        <v>43381.22</v>
      </c>
      <c r="N20" s="26">
        <v>129.51</v>
      </c>
      <c r="O20" s="26">
        <v>194.26</v>
      </c>
    </row>
    <row r="21" spans="1:19">
      <c r="A21">
        <v>0.64249999999999996</v>
      </c>
      <c r="B21">
        <v>14</v>
      </c>
      <c r="C21" s="25">
        <v>0</v>
      </c>
      <c r="D21">
        <v>0.62250000000000005</v>
      </c>
      <c r="E21">
        <v>0.64</v>
      </c>
      <c r="F21" s="25">
        <v>1.53</v>
      </c>
      <c r="G21">
        <v>14</v>
      </c>
      <c r="H21" t="s">
        <v>0</v>
      </c>
      <c r="I21">
        <v>0.99</v>
      </c>
      <c r="J21">
        <v>24000</v>
      </c>
      <c r="K21">
        <v>3.5000000000000001E-3</v>
      </c>
      <c r="L21">
        <v>26.9</v>
      </c>
      <c r="M21" s="25">
        <v>1.165</v>
      </c>
      <c r="N21">
        <v>2.5000000000000001E-3</v>
      </c>
      <c r="O21">
        <v>3.5000000000000001E-3</v>
      </c>
      <c r="P21" s="25">
        <v>1.2310000000000001</v>
      </c>
      <c r="Q21">
        <v>9</v>
      </c>
      <c r="R21" t="s">
        <v>0</v>
      </c>
      <c r="S21">
        <v>-0.01</v>
      </c>
    </row>
    <row r="22" spans="1:19">
      <c r="D22" s="26">
        <v>40308.949999999997</v>
      </c>
      <c r="E22" s="26">
        <v>41442.14</v>
      </c>
      <c r="N22" s="26">
        <v>161.88</v>
      </c>
      <c r="O22" s="26">
        <v>226.64</v>
      </c>
    </row>
    <row r="23" spans="1:19">
      <c r="A23">
        <v>0.60599999999999998</v>
      </c>
      <c r="B23">
        <v>14</v>
      </c>
      <c r="C23" s="25">
        <v>0</v>
      </c>
      <c r="D23">
        <v>0.59150000000000003</v>
      </c>
      <c r="E23">
        <v>0.61050000000000004</v>
      </c>
      <c r="F23" s="25">
        <v>1.4610000000000001</v>
      </c>
      <c r="G23">
        <v>14</v>
      </c>
      <c r="H23">
        <v>4</v>
      </c>
      <c r="I23">
        <v>0.98</v>
      </c>
      <c r="J23">
        <v>26000</v>
      </c>
      <c r="K23">
        <v>4.4999999999999997E-3</v>
      </c>
      <c r="L23">
        <v>162.19999999999999</v>
      </c>
      <c r="M23" s="25">
        <v>1.1100000000000001</v>
      </c>
      <c r="N23">
        <v>3.0000000000000001E-3</v>
      </c>
      <c r="O23">
        <v>4.4999999999999997E-3</v>
      </c>
      <c r="P23" s="25">
        <v>1.1910000000000001</v>
      </c>
      <c r="Q23">
        <v>74.7</v>
      </c>
      <c r="R23" t="s">
        <v>0</v>
      </c>
      <c r="S23">
        <v>-0.02</v>
      </c>
    </row>
    <row r="24" spans="1:19">
      <c r="D24" s="26">
        <v>38298.5</v>
      </c>
      <c r="E24" s="26">
        <v>39528.71</v>
      </c>
      <c r="N24" s="26">
        <v>194.24</v>
      </c>
      <c r="O24" s="26">
        <v>291.37</v>
      </c>
    </row>
    <row r="25" spans="1:19">
      <c r="A25">
        <v>0.59250000000000003</v>
      </c>
      <c r="B25">
        <v>11</v>
      </c>
      <c r="C25" s="25">
        <v>0.53400000000000003</v>
      </c>
      <c r="D25">
        <v>0.5675</v>
      </c>
      <c r="E25">
        <v>0.58299999999999996</v>
      </c>
      <c r="F25" s="25">
        <v>1.4419999999999999</v>
      </c>
      <c r="G25">
        <v>14</v>
      </c>
      <c r="H25" t="s">
        <v>0</v>
      </c>
      <c r="I25">
        <v>0.98</v>
      </c>
      <c r="J25">
        <v>28000</v>
      </c>
      <c r="K25">
        <v>4.4999999999999997E-3</v>
      </c>
      <c r="L25">
        <v>72.5</v>
      </c>
      <c r="M25" s="25">
        <v>1.08</v>
      </c>
      <c r="N25">
        <v>4.0000000000000001E-3</v>
      </c>
      <c r="O25">
        <v>5.0000000000000001E-3</v>
      </c>
      <c r="P25" s="25">
        <v>1.125</v>
      </c>
      <c r="Q25">
        <v>3.9</v>
      </c>
      <c r="R25">
        <v>48.4</v>
      </c>
      <c r="S25">
        <v>-0.02</v>
      </c>
    </row>
    <row r="26" spans="1:19">
      <c r="D26" s="26">
        <v>36739.54</v>
      </c>
      <c r="E26" s="26">
        <v>37742.99</v>
      </c>
      <c r="N26" s="26">
        <v>259.01</v>
      </c>
      <c r="O26" s="26">
        <v>323.77</v>
      </c>
    </row>
    <row r="27" spans="1:19">
      <c r="A27">
        <v>0.47899999999999998</v>
      </c>
      <c r="B27">
        <v>13</v>
      </c>
      <c r="C27" s="25">
        <v>0</v>
      </c>
      <c r="D27">
        <v>0.52949999999999997</v>
      </c>
      <c r="E27">
        <v>0.55549999999999999</v>
      </c>
      <c r="F27" s="25">
        <v>1.411</v>
      </c>
      <c r="G27">
        <v>13</v>
      </c>
      <c r="H27" t="s">
        <v>0</v>
      </c>
      <c r="I27">
        <v>0.97</v>
      </c>
      <c r="J27">
        <v>30000</v>
      </c>
      <c r="K27">
        <v>6.0000000000000001E-3</v>
      </c>
      <c r="L27">
        <v>61.4</v>
      </c>
      <c r="M27" s="25">
        <v>1.042</v>
      </c>
      <c r="N27">
        <v>5.0000000000000001E-3</v>
      </c>
      <c r="O27">
        <v>6.0000000000000001E-3</v>
      </c>
      <c r="P27" s="25">
        <v>1.08</v>
      </c>
      <c r="Q27">
        <v>1</v>
      </c>
      <c r="R27">
        <v>6.2</v>
      </c>
      <c r="S27">
        <v>-0.03</v>
      </c>
    </row>
    <row r="28" spans="1:19">
      <c r="D28" s="26">
        <v>34284.11</v>
      </c>
      <c r="E28" s="26">
        <v>35967.56</v>
      </c>
      <c r="N28" s="26">
        <v>323.74</v>
      </c>
      <c r="O28" s="26">
        <v>388.49</v>
      </c>
    </row>
    <row r="29" spans="1:19">
      <c r="A29">
        <v>0.49049999999999999</v>
      </c>
      <c r="B29">
        <v>10</v>
      </c>
      <c r="C29" s="25">
        <v>0.60899999999999999</v>
      </c>
      <c r="D29">
        <v>0.50600000000000001</v>
      </c>
      <c r="E29">
        <v>0.53</v>
      </c>
      <c r="F29" s="25">
        <v>1.4079999999999999</v>
      </c>
      <c r="G29">
        <v>13</v>
      </c>
      <c r="H29" t="s">
        <v>0</v>
      </c>
      <c r="I29">
        <v>0.97</v>
      </c>
      <c r="J29">
        <v>32000</v>
      </c>
      <c r="K29">
        <v>7.4999999999999997E-3</v>
      </c>
      <c r="L29">
        <v>35.299999999999997</v>
      </c>
      <c r="M29" s="25">
        <v>1.016</v>
      </c>
      <c r="N29">
        <v>6.4999999999999997E-3</v>
      </c>
      <c r="O29">
        <v>7.4999999999999997E-3</v>
      </c>
      <c r="P29" s="25">
        <v>1.0469999999999999</v>
      </c>
      <c r="Q29">
        <v>5.6</v>
      </c>
      <c r="R29">
        <v>1.2</v>
      </c>
      <c r="S29">
        <v>-0.03</v>
      </c>
    </row>
    <row r="30" spans="1:19">
      <c r="D30" s="26">
        <v>32765.19</v>
      </c>
      <c r="E30" s="26">
        <v>34319.269999999997</v>
      </c>
      <c r="N30" s="26">
        <v>420.9</v>
      </c>
      <c r="O30" s="26">
        <v>485.65</v>
      </c>
    </row>
    <row r="31" spans="1:19">
      <c r="A31">
        <v>0.36849999999999999</v>
      </c>
      <c r="B31">
        <v>10</v>
      </c>
      <c r="C31" s="25">
        <v>0.53400000000000003</v>
      </c>
      <c r="D31">
        <v>0.47499999999999998</v>
      </c>
      <c r="E31">
        <v>0.49399999999999999</v>
      </c>
      <c r="F31" s="25">
        <v>1.2210000000000001</v>
      </c>
      <c r="G31">
        <v>10</v>
      </c>
      <c r="H31" t="s">
        <v>0</v>
      </c>
      <c r="I31">
        <v>0.96</v>
      </c>
      <c r="J31">
        <v>34000</v>
      </c>
      <c r="K31">
        <v>0.01</v>
      </c>
      <c r="L31">
        <v>58.3</v>
      </c>
      <c r="M31" s="25">
        <v>0.98199999999999998</v>
      </c>
      <c r="N31">
        <v>8.0000000000000002E-3</v>
      </c>
      <c r="O31">
        <v>8.9999999999999993E-3</v>
      </c>
      <c r="P31" s="25">
        <v>1.0089999999999999</v>
      </c>
      <c r="Q31">
        <v>6.3</v>
      </c>
      <c r="R31" t="s">
        <v>0</v>
      </c>
      <c r="S31">
        <v>-0.04</v>
      </c>
    </row>
    <row r="32" spans="1:19">
      <c r="D32" s="26">
        <v>30755.34</v>
      </c>
      <c r="E32" s="26">
        <v>31985.56</v>
      </c>
      <c r="N32" s="26">
        <v>517.9</v>
      </c>
      <c r="O32" s="26">
        <v>582.64</v>
      </c>
    </row>
    <row r="33" spans="1:19">
      <c r="A33">
        <v>0.48</v>
      </c>
      <c r="B33">
        <v>9</v>
      </c>
      <c r="C33" s="25">
        <v>0</v>
      </c>
      <c r="D33">
        <v>0.439</v>
      </c>
      <c r="E33">
        <v>0.46550000000000002</v>
      </c>
      <c r="F33" s="25">
        <v>1.1719999999999999</v>
      </c>
      <c r="G33">
        <v>9</v>
      </c>
      <c r="H33" t="s">
        <v>0</v>
      </c>
      <c r="I33">
        <v>0.95</v>
      </c>
      <c r="J33">
        <v>36000</v>
      </c>
      <c r="K33">
        <v>1.2E-2</v>
      </c>
      <c r="L33">
        <v>56</v>
      </c>
      <c r="M33" s="25">
        <v>0.95599999999999996</v>
      </c>
      <c r="N33">
        <v>0.01</v>
      </c>
      <c r="O33">
        <v>1.0999999999999999E-2</v>
      </c>
      <c r="P33" s="25">
        <v>0.97799999999999998</v>
      </c>
      <c r="Q33">
        <v>1.6</v>
      </c>
      <c r="R33">
        <v>4.5999999999999996</v>
      </c>
      <c r="S33">
        <v>-0.05</v>
      </c>
    </row>
    <row r="34" spans="1:19">
      <c r="D34" s="26">
        <v>28424.41</v>
      </c>
      <c r="E34" s="26">
        <v>30140.240000000002</v>
      </c>
      <c r="N34" s="26">
        <v>647.48</v>
      </c>
      <c r="O34" s="26">
        <v>712.23</v>
      </c>
    </row>
    <row r="35" spans="1:19">
      <c r="A35">
        <v>0.39900000000000002</v>
      </c>
      <c r="B35">
        <v>9</v>
      </c>
      <c r="C35" s="25">
        <v>0</v>
      </c>
      <c r="D35">
        <v>0.41</v>
      </c>
      <c r="E35">
        <v>0.438</v>
      </c>
      <c r="F35" s="25">
        <v>1.1359999999999999</v>
      </c>
      <c r="G35">
        <v>9</v>
      </c>
      <c r="H35" t="s">
        <v>0</v>
      </c>
      <c r="I35">
        <v>0.94</v>
      </c>
      <c r="J35">
        <v>38000</v>
      </c>
      <c r="K35">
        <v>1.6E-2</v>
      </c>
      <c r="L35">
        <v>54.2</v>
      </c>
      <c r="M35" s="25">
        <v>0.93200000000000005</v>
      </c>
      <c r="N35">
        <v>1.2500000000000001E-2</v>
      </c>
      <c r="O35">
        <v>1.4E-2</v>
      </c>
      <c r="P35" s="25">
        <v>0.96099999999999997</v>
      </c>
      <c r="Q35">
        <v>7.8</v>
      </c>
      <c r="R35">
        <v>6</v>
      </c>
      <c r="S35">
        <v>-0.06</v>
      </c>
    </row>
    <row r="36" spans="1:19">
      <c r="D36" s="26">
        <v>26545.24</v>
      </c>
      <c r="E36" s="26">
        <v>28358.09</v>
      </c>
      <c r="N36" s="26">
        <v>809.42</v>
      </c>
      <c r="O36" s="26">
        <v>906.55</v>
      </c>
    </row>
    <row r="37" spans="1:19">
      <c r="A37">
        <v>0.39900000000000002</v>
      </c>
      <c r="B37">
        <v>9</v>
      </c>
      <c r="C37" s="25">
        <v>0.751</v>
      </c>
      <c r="D37">
        <v>0.38950000000000001</v>
      </c>
      <c r="E37">
        <v>0.42349999999999999</v>
      </c>
      <c r="F37" s="25">
        <v>1.2549999999999999</v>
      </c>
      <c r="G37">
        <v>12</v>
      </c>
      <c r="H37">
        <v>0.3</v>
      </c>
      <c r="I37">
        <v>0.92</v>
      </c>
      <c r="J37">
        <v>40000</v>
      </c>
      <c r="K37">
        <v>1.7999999999999999E-2</v>
      </c>
      <c r="L37">
        <v>5.6</v>
      </c>
      <c r="M37" s="25">
        <v>0.91900000000000004</v>
      </c>
      <c r="N37">
        <v>1.6E-2</v>
      </c>
      <c r="O37">
        <v>1.7500000000000002E-2</v>
      </c>
      <c r="P37" s="25">
        <v>0.94299999999999995</v>
      </c>
      <c r="Q37">
        <v>45.4</v>
      </c>
      <c r="R37">
        <v>59.1</v>
      </c>
      <c r="S37">
        <v>-0.08</v>
      </c>
    </row>
    <row r="38" spans="1:19">
      <c r="D38" s="26">
        <v>25221.43</v>
      </c>
      <c r="E38" s="26">
        <v>27423.040000000001</v>
      </c>
      <c r="N38" s="26">
        <v>1035.8699999999999</v>
      </c>
      <c r="O38" s="26">
        <v>1132.98</v>
      </c>
    </row>
    <row r="39" spans="1:19">
      <c r="A39">
        <v>0.371</v>
      </c>
      <c r="B39">
        <v>12</v>
      </c>
      <c r="C39" s="25">
        <v>0.53900000000000003</v>
      </c>
      <c r="D39">
        <v>0.35349999999999998</v>
      </c>
      <c r="E39">
        <v>0.38500000000000001</v>
      </c>
      <c r="F39" s="25">
        <v>1.0760000000000001</v>
      </c>
      <c r="G39">
        <v>9</v>
      </c>
      <c r="H39">
        <v>1.7</v>
      </c>
      <c r="I39">
        <v>0.9</v>
      </c>
      <c r="J39">
        <v>42000</v>
      </c>
      <c r="K39">
        <v>2.0299999999999999E-2</v>
      </c>
      <c r="L39">
        <v>6.4</v>
      </c>
      <c r="M39" s="25">
        <v>0.90300000000000002</v>
      </c>
      <c r="N39">
        <v>0.02</v>
      </c>
      <c r="O39">
        <v>2.1499999999999998E-2</v>
      </c>
      <c r="P39" s="25">
        <v>0.92400000000000004</v>
      </c>
      <c r="Q39">
        <v>43.3</v>
      </c>
      <c r="R39">
        <v>63</v>
      </c>
      <c r="S39">
        <v>-0.1</v>
      </c>
    </row>
    <row r="40" spans="1:19">
      <c r="D40" s="26">
        <v>22890.31</v>
      </c>
      <c r="E40" s="26">
        <v>24930.04</v>
      </c>
      <c r="N40" s="26">
        <v>1294.96</v>
      </c>
      <c r="O40" s="26">
        <v>1392.08</v>
      </c>
    </row>
    <row r="41" spans="1:19">
      <c r="A41">
        <v>0.33100000000000002</v>
      </c>
      <c r="B41">
        <v>12</v>
      </c>
      <c r="C41" s="25">
        <v>0.61199999999999999</v>
      </c>
      <c r="D41">
        <v>0.32700000000000001</v>
      </c>
      <c r="E41">
        <v>0.3735</v>
      </c>
      <c r="F41" s="25">
        <v>1.1930000000000001</v>
      </c>
      <c r="G41">
        <v>12</v>
      </c>
      <c r="H41" t="s">
        <v>0</v>
      </c>
      <c r="I41">
        <v>0.89</v>
      </c>
      <c r="J41">
        <v>44000</v>
      </c>
      <c r="K41">
        <v>2.8500000000000001E-2</v>
      </c>
      <c r="L41">
        <v>4.8</v>
      </c>
      <c r="M41" s="25">
        <v>0.89200000000000002</v>
      </c>
      <c r="N41">
        <v>2.5000000000000001E-2</v>
      </c>
      <c r="O41">
        <v>2.5999999999999999E-2</v>
      </c>
      <c r="P41" s="25">
        <v>0.90400000000000003</v>
      </c>
      <c r="Q41">
        <v>14.9</v>
      </c>
      <c r="R41">
        <v>70.5</v>
      </c>
      <c r="S41">
        <v>-0.11</v>
      </c>
    </row>
    <row r="42" spans="1:19">
      <c r="D42" s="26">
        <v>21174.34</v>
      </c>
      <c r="E42" s="26">
        <v>24185.37</v>
      </c>
      <c r="N42" s="26">
        <v>1618.7</v>
      </c>
      <c r="O42" s="26">
        <v>1683.45</v>
      </c>
    </row>
    <row r="43" spans="1:19">
      <c r="A43">
        <v>0.3075</v>
      </c>
      <c r="B43">
        <v>12</v>
      </c>
      <c r="C43" s="25">
        <v>0.64</v>
      </c>
      <c r="D43">
        <v>0.30099999999999999</v>
      </c>
      <c r="E43">
        <v>0.34949999999999998</v>
      </c>
      <c r="F43" s="25">
        <v>1.1659999999999999</v>
      </c>
      <c r="G43">
        <v>12</v>
      </c>
      <c r="H43" t="s">
        <v>0</v>
      </c>
      <c r="I43">
        <v>0.86</v>
      </c>
      <c r="J43">
        <v>46000</v>
      </c>
      <c r="K43">
        <v>0.03</v>
      </c>
      <c r="L43">
        <v>41.1</v>
      </c>
      <c r="M43" s="25">
        <v>0.878</v>
      </c>
      <c r="N43">
        <v>3.0499999999999999E-2</v>
      </c>
      <c r="O43">
        <v>3.2000000000000001E-2</v>
      </c>
      <c r="P43" s="25">
        <v>0.89400000000000002</v>
      </c>
      <c r="Q43">
        <v>25.5</v>
      </c>
      <c r="R43">
        <v>126.7</v>
      </c>
      <c r="S43">
        <v>-0.14000000000000001</v>
      </c>
    </row>
    <row r="44" spans="1:19">
      <c r="D44" s="26">
        <v>19489.18</v>
      </c>
      <c r="E44" s="26">
        <v>22629.46</v>
      </c>
      <c r="N44" s="26">
        <v>1974.71</v>
      </c>
      <c r="O44" s="26">
        <v>2071.8200000000002</v>
      </c>
    </row>
    <row r="45" spans="1:19">
      <c r="A45">
        <v>0.28100000000000003</v>
      </c>
      <c r="B45">
        <v>9</v>
      </c>
      <c r="C45" s="25">
        <v>0.83499999999999996</v>
      </c>
      <c r="D45">
        <v>0.29249999999999998</v>
      </c>
      <c r="E45">
        <v>0.32650000000000001</v>
      </c>
      <c r="F45" s="25">
        <v>1.1419999999999999</v>
      </c>
      <c r="G45">
        <v>12</v>
      </c>
      <c r="H45" t="s">
        <v>0</v>
      </c>
      <c r="I45">
        <v>0.84</v>
      </c>
      <c r="J45">
        <v>48000</v>
      </c>
      <c r="K45">
        <v>3.7499999999999999E-2</v>
      </c>
      <c r="L45">
        <v>16.8</v>
      </c>
      <c r="M45" s="25">
        <v>0.87</v>
      </c>
      <c r="N45">
        <v>3.7499999999999999E-2</v>
      </c>
      <c r="O45">
        <v>3.9E-2</v>
      </c>
      <c r="P45" s="25">
        <v>0.88400000000000001</v>
      </c>
      <c r="Q45">
        <v>24.1</v>
      </c>
      <c r="R45">
        <v>32</v>
      </c>
      <c r="S45">
        <v>-0.16</v>
      </c>
    </row>
    <row r="46" spans="1:19">
      <c r="D46" s="26">
        <v>18936.96</v>
      </c>
      <c r="E46" s="26">
        <v>21138.18</v>
      </c>
      <c r="N46" s="26">
        <v>2427.89</v>
      </c>
      <c r="O46" s="26">
        <v>2525.0100000000002</v>
      </c>
    </row>
    <row r="47" spans="1:19">
      <c r="A47">
        <v>0.27500000000000002</v>
      </c>
      <c r="B47">
        <v>5.4</v>
      </c>
      <c r="C47" s="25">
        <v>0.85699999999999998</v>
      </c>
      <c r="D47">
        <v>0.27250000000000002</v>
      </c>
      <c r="E47">
        <v>0.30349999999999999</v>
      </c>
      <c r="F47" s="25">
        <v>1.1140000000000001</v>
      </c>
      <c r="G47">
        <v>21</v>
      </c>
      <c r="H47">
        <v>45.4</v>
      </c>
      <c r="I47">
        <v>0.81</v>
      </c>
      <c r="J47">
        <v>50000</v>
      </c>
      <c r="K47">
        <v>4.4999999999999998E-2</v>
      </c>
      <c r="L47">
        <v>12.7</v>
      </c>
      <c r="M47" s="25">
        <v>0.86299999999999999</v>
      </c>
      <c r="N47">
        <v>4.5499999999999999E-2</v>
      </c>
      <c r="O47">
        <v>4.7E-2</v>
      </c>
      <c r="P47" s="25">
        <v>0.876</v>
      </c>
      <c r="Q47">
        <v>23.8</v>
      </c>
      <c r="R47">
        <v>147.80000000000001</v>
      </c>
      <c r="S47">
        <v>-0.19</v>
      </c>
    </row>
    <row r="48" spans="1:19">
      <c r="D48" s="26">
        <v>17641.78</v>
      </c>
      <c r="E48" s="26">
        <v>19648.740000000002</v>
      </c>
      <c r="N48" s="26">
        <v>2945.93</v>
      </c>
      <c r="O48" s="26">
        <v>3043.05</v>
      </c>
    </row>
    <row r="49" spans="1:19">
      <c r="A49">
        <v>0.25</v>
      </c>
      <c r="B49">
        <v>9</v>
      </c>
      <c r="C49" s="25">
        <v>0.82099999999999995</v>
      </c>
      <c r="D49">
        <v>0.247</v>
      </c>
      <c r="E49">
        <v>0.26950000000000002</v>
      </c>
      <c r="F49" s="25">
        <v>0.998</v>
      </c>
      <c r="G49">
        <v>12</v>
      </c>
      <c r="H49" t="s">
        <v>0</v>
      </c>
      <c r="I49">
        <v>0.78</v>
      </c>
      <c r="J49">
        <v>52000</v>
      </c>
      <c r="K49">
        <v>5.7000000000000002E-2</v>
      </c>
      <c r="L49">
        <v>35.799999999999997</v>
      </c>
      <c r="M49" s="25">
        <v>0.85499999999999998</v>
      </c>
      <c r="N49">
        <v>5.45E-2</v>
      </c>
      <c r="O49">
        <v>5.6000000000000001E-2</v>
      </c>
      <c r="P49" s="25">
        <v>0.86699999999999999</v>
      </c>
      <c r="Q49">
        <v>22</v>
      </c>
      <c r="R49">
        <v>5.4</v>
      </c>
      <c r="S49">
        <v>-0.22</v>
      </c>
    </row>
    <row r="50" spans="1:19">
      <c r="D50" s="26">
        <v>15990.29</v>
      </c>
      <c r="E50" s="26">
        <v>17446.900000000001</v>
      </c>
      <c r="N50" s="26">
        <v>3527.94</v>
      </c>
      <c r="O50" s="26">
        <v>3625.04</v>
      </c>
    </row>
    <row r="51" spans="1:19">
      <c r="A51">
        <v>0.215</v>
      </c>
      <c r="B51">
        <v>12</v>
      </c>
      <c r="C51" s="25">
        <v>0.68400000000000005</v>
      </c>
      <c r="D51">
        <v>0.20899999999999999</v>
      </c>
      <c r="E51">
        <v>0.26550000000000001</v>
      </c>
      <c r="F51" s="25">
        <v>1.1020000000000001</v>
      </c>
      <c r="G51">
        <v>12</v>
      </c>
      <c r="H51" t="s">
        <v>0</v>
      </c>
      <c r="I51">
        <v>0.75</v>
      </c>
      <c r="J51">
        <v>54000</v>
      </c>
      <c r="K51">
        <v>7.0499999999999993E-2</v>
      </c>
      <c r="L51">
        <v>9.6</v>
      </c>
      <c r="M51" s="25">
        <v>0.85099999999999998</v>
      </c>
      <c r="N51">
        <v>6.5000000000000002E-2</v>
      </c>
      <c r="O51">
        <v>6.6500000000000004E-2</v>
      </c>
      <c r="P51" s="25">
        <v>0.86199999999999999</v>
      </c>
      <c r="Q51">
        <v>2</v>
      </c>
      <c r="R51">
        <v>0.4</v>
      </c>
      <c r="S51">
        <v>-0.25</v>
      </c>
    </row>
    <row r="52" spans="1:19">
      <c r="D52" s="26">
        <v>13532.35</v>
      </c>
      <c r="E52" s="26">
        <v>17190.62</v>
      </c>
      <c r="N52" s="26">
        <v>4207.6099999999997</v>
      </c>
      <c r="O52" s="26">
        <v>4304.71</v>
      </c>
    </row>
    <row r="53" spans="1:19">
      <c r="A53">
        <v>0.2</v>
      </c>
      <c r="B53">
        <v>12</v>
      </c>
      <c r="C53" s="25">
        <v>0.68700000000000006</v>
      </c>
      <c r="D53">
        <v>0.189</v>
      </c>
      <c r="E53">
        <v>0.247</v>
      </c>
      <c r="F53" s="25">
        <v>1.091</v>
      </c>
      <c r="G53">
        <v>12</v>
      </c>
      <c r="H53" t="s">
        <v>0</v>
      </c>
      <c r="I53">
        <v>0.72</v>
      </c>
      <c r="J53">
        <v>56000</v>
      </c>
      <c r="K53">
        <v>8.2000000000000003E-2</v>
      </c>
      <c r="L53">
        <v>1</v>
      </c>
      <c r="M53" s="25">
        <v>0.85</v>
      </c>
      <c r="N53">
        <v>7.6999999999999999E-2</v>
      </c>
      <c r="O53">
        <v>7.8E-2</v>
      </c>
      <c r="P53" s="25">
        <v>0.85699999999999998</v>
      </c>
      <c r="Q53">
        <v>2.5</v>
      </c>
      <c r="R53">
        <v>11.3</v>
      </c>
      <c r="S53">
        <v>-0.28000000000000003</v>
      </c>
    </row>
    <row r="54" spans="1:19">
      <c r="D54" s="26">
        <v>12237.39</v>
      </c>
      <c r="E54" s="26">
        <v>15992.78</v>
      </c>
      <c r="N54" s="26">
        <v>4984.7</v>
      </c>
      <c r="O54" s="26">
        <v>5049.43</v>
      </c>
    </row>
    <row r="55" spans="1:19">
      <c r="A55">
        <v>0.18099999999999999</v>
      </c>
      <c r="B55">
        <v>8.5</v>
      </c>
      <c r="C55" s="25">
        <v>0.84</v>
      </c>
      <c r="D55">
        <v>0.17649999999999999</v>
      </c>
      <c r="E55">
        <v>0.21099999999999999</v>
      </c>
      <c r="F55" s="25">
        <v>1.0589999999999999</v>
      </c>
      <c r="G55">
        <v>22</v>
      </c>
      <c r="H55">
        <v>17.399999999999999</v>
      </c>
      <c r="I55">
        <v>0.65</v>
      </c>
      <c r="J55">
        <v>60000</v>
      </c>
      <c r="K55">
        <v>0.10730000000000001</v>
      </c>
      <c r="L55">
        <v>0.5</v>
      </c>
      <c r="M55" s="25">
        <v>0.84399999999999997</v>
      </c>
      <c r="N55">
        <v>0.104</v>
      </c>
      <c r="O55">
        <v>0.105</v>
      </c>
      <c r="P55" s="25">
        <v>0.85099999999999998</v>
      </c>
      <c r="Q55">
        <v>2.5</v>
      </c>
      <c r="R55">
        <v>127.3</v>
      </c>
      <c r="S55">
        <v>-0.35</v>
      </c>
    </row>
    <row r="56" spans="1:19">
      <c r="D56" s="26">
        <v>11427.36</v>
      </c>
      <c r="E56" s="26">
        <v>13661.04</v>
      </c>
      <c r="N56" s="26">
        <v>6732.21</v>
      </c>
      <c r="O56" s="26">
        <v>6796.95</v>
      </c>
    </row>
    <row r="57" spans="1:19">
      <c r="A57">
        <v>0.14899999999999999</v>
      </c>
      <c r="B57">
        <v>6.2</v>
      </c>
      <c r="C57" s="25">
        <v>0.84599999999999997</v>
      </c>
      <c r="D57">
        <v>0.14799999999999999</v>
      </c>
      <c r="E57">
        <v>0.15</v>
      </c>
      <c r="F57" s="25">
        <v>0.85799999999999998</v>
      </c>
      <c r="G57">
        <v>7.6</v>
      </c>
      <c r="H57">
        <v>4.4000000000000004</v>
      </c>
      <c r="I57">
        <v>0.57999999999999996</v>
      </c>
      <c r="J57">
        <v>64000</v>
      </c>
      <c r="K57">
        <v>0.14199999999999999</v>
      </c>
      <c r="L57">
        <v>14</v>
      </c>
      <c r="M57" s="25">
        <v>0.84199999999999997</v>
      </c>
      <c r="N57">
        <v>0.13600000000000001</v>
      </c>
      <c r="O57">
        <v>0.13800000000000001</v>
      </c>
      <c r="P57" s="25">
        <v>0.85399999999999998</v>
      </c>
      <c r="Q57">
        <v>2.2999999999999998</v>
      </c>
      <c r="R57">
        <v>14.1</v>
      </c>
      <c r="S57">
        <v>-0.42</v>
      </c>
    </row>
    <row r="58" spans="1:19">
      <c r="D58" s="26">
        <v>9582.34</v>
      </c>
      <c r="E58" s="26">
        <v>9711.83</v>
      </c>
      <c r="N58" s="26">
        <v>8803.64</v>
      </c>
      <c r="O58" s="26">
        <v>8933.11</v>
      </c>
    </row>
    <row r="59" spans="1:19">
      <c r="A59">
        <v>0.14499999999999999</v>
      </c>
      <c r="B59">
        <v>5.4</v>
      </c>
      <c r="C59" s="25">
        <v>0.84399999999999997</v>
      </c>
      <c r="D59">
        <v>0.14099999999999999</v>
      </c>
      <c r="E59">
        <v>0.14399999999999999</v>
      </c>
      <c r="F59" s="25">
        <v>0.86199999999999999</v>
      </c>
      <c r="G59">
        <v>20.9</v>
      </c>
      <c r="H59">
        <v>9.9</v>
      </c>
      <c r="I59">
        <v>0.56999999999999995</v>
      </c>
      <c r="J59">
        <v>65000</v>
      </c>
      <c r="K59">
        <v>0.14949999999999999</v>
      </c>
      <c r="L59">
        <v>18.899999999999999</v>
      </c>
      <c r="M59" s="25">
        <v>0.84099999999999997</v>
      </c>
      <c r="N59">
        <v>0.14449999999999999</v>
      </c>
      <c r="O59">
        <v>0.14649999999999999</v>
      </c>
      <c r="P59" s="25">
        <v>0.85299999999999998</v>
      </c>
      <c r="Q59">
        <v>2.4</v>
      </c>
      <c r="R59">
        <v>0.8</v>
      </c>
      <c r="S59">
        <v>-0.43</v>
      </c>
    </row>
    <row r="60" spans="1:19">
      <c r="D60" s="26">
        <v>9128.59</v>
      </c>
      <c r="E60" s="26">
        <v>9322.81</v>
      </c>
      <c r="N60" s="26">
        <v>9353.89</v>
      </c>
      <c r="O60" s="26">
        <v>9483.36</v>
      </c>
    </row>
    <row r="61" spans="1:19">
      <c r="A61">
        <v>0.11650000000000001</v>
      </c>
      <c r="B61">
        <v>12.6</v>
      </c>
      <c r="C61" s="25">
        <v>0.85099999999999998</v>
      </c>
      <c r="D61">
        <v>0.1125</v>
      </c>
      <c r="E61">
        <v>0.115</v>
      </c>
      <c r="F61" s="25">
        <v>0.86599999999999999</v>
      </c>
      <c r="G61">
        <v>9.8000000000000007</v>
      </c>
      <c r="H61">
        <v>68</v>
      </c>
      <c r="I61">
        <v>0.49</v>
      </c>
      <c r="J61">
        <v>70000</v>
      </c>
      <c r="K61">
        <v>0.1905</v>
      </c>
      <c r="L61">
        <v>14.5</v>
      </c>
      <c r="M61" s="25">
        <v>0.84899999999999998</v>
      </c>
      <c r="N61">
        <v>0.19350000000000001</v>
      </c>
      <c r="O61">
        <v>0.19650000000000001</v>
      </c>
      <c r="P61" s="25">
        <v>0.86699999999999999</v>
      </c>
      <c r="Q61">
        <v>8</v>
      </c>
      <c r="R61">
        <v>0.6</v>
      </c>
      <c r="S61">
        <v>-0.51</v>
      </c>
    </row>
    <row r="62" spans="1:19">
      <c r="D62" s="26">
        <v>7283.87</v>
      </c>
      <c r="E62" s="26">
        <v>7445.74</v>
      </c>
      <c r="N62" s="26">
        <v>12526.02</v>
      </c>
      <c r="O62" s="26">
        <v>12720.23</v>
      </c>
    </row>
    <row r="63" spans="1:19">
      <c r="A63">
        <v>9.5500000000000002E-2</v>
      </c>
      <c r="B63">
        <v>18.600000000000001</v>
      </c>
      <c r="C63" s="25">
        <v>0.85699999999999998</v>
      </c>
      <c r="D63">
        <v>8.9499999999999996E-2</v>
      </c>
      <c r="E63">
        <v>9.1999999999999998E-2</v>
      </c>
      <c r="F63" s="25">
        <v>0.872</v>
      </c>
      <c r="G63">
        <v>3.4</v>
      </c>
      <c r="H63">
        <v>53.6</v>
      </c>
      <c r="I63">
        <v>0.41</v>
      </c>
      <c r="J63">
        <v>75000</v>
      </c>
      <c r="K63">
        <v>0.2515</v>
      </c>
      <c r="L63">
        <v>4.4000000000000004</v>
      </c>
      <c r="M63" s="25">
        <v>0.81599999999999995</v>
      </c>
      <c r="N63">
        <v>0.24099999999999999</v>
      </c>
      <c r="O63">
        <v>0.251</v>
      </c>
      <c r="P63" s="25">
        <v>0.876</v>
      </c>
      <c r="Q63">
        <v>4.2</v>
      </c>
      <c r="R63">
        <v>5.5</v>
      </c>
      <c r="S63">
        <v>-0.57999999999999996</v>
      </c>
    </row>
    <row r="64" spans="1:19">
      <c r="D64" s="26">
        <v>5793.92</v>
      </c>
      <c r="E64" s="26">
        <v>5955.77</v>
      </c>
      <c r="N64" s="26">
        <v>15604.29</v>
      </c>
      <c r="O64" s="26">
        <v>16251.77</v>
      </c>
    </row>
    <row r="65" spans="1:19">
      <c r="A65">
        <v>7.3999999999999996E-2</v>
      </c>
      <c r="B65">
        <v>5.9</v>
      </c>
      <c r="C65" s="25">
        <v>0.86899999999999999</v>
      </c>
      <c r="D65">
        <v>7.1999999999999995E-2</v>
      </c>
      <c r="E65">
        <v>7.3999999999999996E-2</v>
      </c>
      <c r="F65" s="25">
        <v>0.88200000000000001</v>
      </c>
      <c r="G65">
        <v>25.2</v>
      </c>
      <c r="H65">
        <v>239.2</v>
      </c>
      <c r="I65">
        <v>0.35</v>
      </c>
      <c r="J65">
        <v>80000</v>
      </c>
      <c r="K65">
        <v>0.28100000000000003</v>
      </c>
      <c r="L65">
        <v>70</v>
      </c>
      <c r="M65" s="25">
        <v>0</v>
      </c>
      <c r="N65">
        <v>0.01</v>
      </c>
      <c r="O65" t="s">
        <v>0</v>
      </c>
      <c r="P65" t="s">
        <v>0</v>
      </c>
      <c r="Q65" t="s">
        <v>0</v>
      </c>
      <c r="R65" t="s">
        <v>0</v>
      </c>
      <c r="S65">
        <v>-0.65</v>
      </c>
    </row>
    <row r="66" spans="1:19">
      <c r="D66" s="26">
        <v>4660.7299999999996</v>
      </c>
      <c r="E66" s="26">
        <v>4790.2</v>
      </c>
      <c r="N66" s="26">
        <v>647.48</v>
      </c>
      <c r="O66" t="s">
        <v>0</v>
      </c>
    </row>
    <row r="67" spans="1:19">
      <c r="A67">
        <v>5.9200000000000003E-2</v>
      </c>
      <c r="B67">
        <v>7.6</v>
      </c>
      <c r="C67" s="25">
        <v>0.876</v>
      </c>
      <c r="D67">
        <v>5.7500000000000002E-2</v>
      </c>
      <c r="E67">
        <v>5.8999999999999997E-2</v>
      </c>
      <c r="F67" s="25">
        <v>0.88600000000000001</v>
      </c>
      <c r="G67">
        <v>0.7</v>
      </c>
      <c r="H67">
        <v>248.6</v>
      </c>
      <c r="I67">
        <v>0.3</v>
      </c>
      <c r="J67">
        <v>85000</v>
      </c>
      <c r="K67">
        <v>0.32200000000000001</v>
      </c>
      <c r="L67" t="s">
        <v>0</v>
      </c>
      <c r="M67" t="s">
        <v>0</v>
      </c>
      <c r="N67" t="s">
        <v>0</v>
      </c>
      <c r="O67" t="s">
        <v>0</v>
      </c>
      <c r="P67" t="s">
        <v>0</v>
      </c>
      <c r="Q67" t="s">
        <v>0</v>
      </c>
      <c r="R67" t="s">
        <v>0</v>
      </c>
      <c r="S67">
        <v>-0.7</v>
      </c>
    </row>
    <row r="68" spans="1:19">
      <c r="D68" s="26">
        <v>3722.14</v>
      </c>
      <c r="E68" s="26">
        <v>3819.24</v>
      </c>
      <c r="N68" t="s">
        <v>0</v>
      </c>
      <c r="O68" t="s">
        <v>0</v>
      </c>
    </row>
    <row r="69" spans="1:19">
      <c r="A69">
        <v>5.1999999999999998E-2</v>
      </c>
      <c r="B69">
        <v>12.2</v>
      </c>
      <c r="C69" s="25">
        <v>0.88200000000000001</v>
      </c>
      <c r="D69">
        <v>4.5999999999999999E-2</v>
      </c>
      <c r="E69">
        <v>4.8000000000000001E-2</v>
      </c>
      <c r="F69" s="25">
        <v>0.89700000000000002</v>
      </c>
      <c r="G69">
        <v>16.8</v>
      </c>
      <c r="H69">
        <v>177.9</v>
      </c>
      <c r="I69">
        <v>0.25</v>
      </c>
      <c r="J69">
        <v>90000</v>
      </c>
      <c r="K69">
        <v>0.98899999999999999</v>
      </c>
      <c r="L69">
        <v>0.3</v>
      </c>
      <c r="M69" s="25">
        <v>0</v>
      </c>
      <c r="N69">
        <v>0.10100000000000001</v>
      </c>
      <c r="O69" t="s">
        <v>0</v>
      </c>
      <c r="P69" t="s">
        <v>0</v>
      </c>
      <c r="Q69" t="s">
        <v>0</v>
      </c>
      <c r="R69" t="s">
        <v>0</v>
      </c>
      <c r="S69">
        <v>-0.75</v>
      </c>
    </row>
    <row r="70" spans="1:19">
      <c r="D70" s="26">
        <v>2978.65</v>
      </c>
      <c r="E70" s="26">
        <v>3108.16</v>
      </c>
      <c r="N70" s="26">
        <v>6539.56</v>
      </c>
      <c r="O70" t="s">
        <v>0</v>
      </c>
    </row>
    <row r="71" spans="1:19">
      <c r="A71" t="s">
        <v>0</v>
      </c>
      <c r="B71">
        <v>18.100000000000001</v>
      </c>
      <c r="C71" s="25">
        <v>0.89</v>
      </c>
      <c r="D71">
        <v>3.6999999999999998E-2</v>
      </c>
      <c r="E71">
        <v>3.9E-2</v>
      </c>
      <c r="F71" s="25">
        <v>0.90600000000000003</v>
      </c>
      <c r="G71">
        <v>23.8</v>
      </c>
      <c r="H71" t="s">
        <v>0</v>
      </c>
      <c r="I71">
        <v>0.21</v>
      </c>
      <c r="J71">
        <v>95000</v>
      </c>
      <c r="K71" t="s">
        <v>0</v>
      </c>
      <c r="L71" t="s">
        <v>0</v>
      </c>
      <c r="M71" t="s">
        <v>0</v>
      </c>
      <c r="N71" t="s">
        <v>0</v>
      </c>
      <c r="O71" t="s">
        <v>0</v>
      </c>
      <c r="P71" t="s">
        <v>0</v>
      </c>
      <c r="Q71" t="s">
        <v>0</v>
      </c>
      <c r="R71" t="s">
        <v>0</v>
      </c>
      <c r="S71">
        <v>-0.79</v>
      </c>
    </row>
    <row r="72" spans="1:19">
      <c r="D72" s="26">
        <v>2395.12</v>
      </c>
      <c r="E72" s="26">
        <v>2524.58</v>
      </c>
      <c r="N72" t="s">
        <v>0</v>
      </c>
      <c r="O72" t="s">
        <v>0</v>
      </c>
    </row>
    <row r="73" spans="1:19">
      <c r="A73">
        <v>3.15E-2</v>
      </c>
      <c r="B73">
        <v>0.3</v>
      </c>
      <c r="C73" s="25">
        <v>0.90700000000000003</v>
      </c>
      <c r="D73">
        <v>3.1E-2</v>
      </c>
      <c r="E73">
        <v>3.2000000000000001E-2</v>
      </c>
      <c r="F73" s="25">
        <v>0.91600000000000004</v>
      </c>
      <c r="G73">
        <v>35.299999999999997</v>
      </c>
      <c r="H73">
        <v>599.70000000000005</v>
      </c>
      <c r="I73">
        <v>0.18</v>
      </c>
      <c r="J73">
        <v>100000</v>
      </c>
      <c r="K73">
        <v>0.57999999999999996</v>
      </c>
      <c r="L73">
        <v>66.2</v>
      </c>
      <c r="M73" s="25">
        <v>0</v>
      </c>
      <c r="N73">
        <v>0.01</v>
      </c>
      <c r="O73" t="s">
        <v>0</v>
      </c>
      <c r="P73" t="s">
        <v>0</v>
      </c>
      <c r="Q73" t="s">
        <v>0</v>
      </c>
      <c r="R73" t="s">
        <v>0</v>
      </c>
      <c r="S73">
        <v>-0.82</v>
      </c>
    </row>
    <row r="74" spans="1:19">
      <c r="D74" s="26">
        <v>2007.19</v>
      </c>
      <c r="E74" s="26">
        <v>2071.94</v>
      </c>
      <c r="N74" s="26">
        <v>647.53</v>
      </c>
      <c r="O74" t="s">
        <v>0</v>
      </c>
    </row>
    <row r="75" spans="1:19">
      <c r="A75">
        <v>2.1999999999999999E-2</v>
      </c>
      <c r="B75">
        <v>36.799999999999997</v>
      </c>
      <c r="C75" s="25">
        <v>0.92</v>
      </c>
      <c r="D75">
        <v>2.0500000000000001E-2</v>
      </c>
      <c r="E75">
        <v>2.1999999999999999E-2</v>
      </c>
      <c r="F75" s="25">
        <v>0.93700000000000006</v>
      </c>
      <c r="G75">
        <v>35.799999999999997</v>
      </c>
      <c r="H75">
        <v>20.2</v>
      </c>
      <c r="I75">
        <v>0.13</v>
      </c>
      <c r="J75">
        <v>110000</v>
      </c>
      <c r="K75" t="s">
        <v>0</v>
      </c>
      <c r="L75" t="s">
        <v>0</v>
      </c>
      <c r="M75" t="s">
        <v>0</v>
      </c>
      <c r="N75" t="s">
        <v>0</v>
      </c>
      <c r="O75" t="s">
        <v>0</v>
      </c>
      <c r="P75" t="s">
        <v>0</v>
      </c>
      <c r="Q75" t="s">
        <v>0</v>
      </c>
      <c r="R75" t="s">
        <v>0</v>
      </c>
      <c r="S75">
        <v>-0.87</v>
      </c>
    </row>
    <row r="76" spans="1:19">
      <c r="D76" s="26">
        <v>1327.26</v>
      </c>
      <c r="E76" s="26">
        <v>1424.38</v>
      </c>
      <c r="N76" t="s">
        <v>0</v>
      </c>
      <c r="O76" t="s">
        <v>0</v>
      </c>
    </row>
    <row r="77" spans="1:19">
      <c r="A77">
        <v>1.55E-2</v>
      </c>
      <c r="B77">
        <v>26.2</v>
      </c>
      <c r="C77" s="25">
        <v>0.94199999999999995</v>
      </c>
      <c r="D77">
        <v>1.4500000000000001E-2</v>
      </c>
      <c r="E77">
        <v>1.6E-2</v>
      </c>
      <c r="F77" s="25">
        <v>0.96299999999999997</v>
      </c>
      <c r="G77">
        <v>38.1</v>
      </c>
      <c r="H77">
        <v>403.8</v>
      </c>
      <c r="I77">
        <v>0.09</v>
      </c>
      <c r="J77">
        <v>120000</v>
      </c>
      <c r="K77">
        <v>2.77</v>
      </c>
      <c r="L77">
        <v>0.1</v>
      </c>
      <c r="M77" s="25">
        <v>0</v>
      </c>
      <c r="N77">
        <v>1E-3</v>
      </c>
      <c r="O77" t="s">
        <v>0</v>
      </c>
      <c r="P77" t="s">
        <v>0</v>
      </c>
      <c r="Q77" t="s">
        <v>0</v>
      </c>
      <c r="R77" t="s">
        <v>0</v>
      </c>
      <c r="S77">
        <v>-0.91</v>
      </c>
    </row>
    <row r="78" spans="1:19">
      <c r="D78" s="26">
        <v>938.85</v>
      </c>
      <c r="E78" s="26">
        <v>1035.97</v>
      </c>
      <c r="N78" s="26">
        <v>64.75</v>
      </c>
      <c r="O78" t="s">
        <v>0</v>
      </c>
    </row>
    <row r="79" spans="1:19">
      <c r="A79">
        <v>8.9999999999999993E-3</v>
      </c>
      <c r="B79">
        <v>79</v>
      </c>
      <c r="C79" s="25">
        <v>0.98799999999999999</v>
      </c>
      <c r="D79">
        <v>8.0000000000000002E-3</v>
      </c>
      <c r="E79">
        <v>9.4999999999999998E-3</v>
      </c>
      <c r="F79" s="25">
        <v>1.0189999999999999</v>
      </c>
      <c r="G79">
        <v>3.5</v>
      </c>
      <c r="H79">
        <v>36.299999999999997</v>
      </c>
      <c r="I79">
        <v>0.06</v>
      </c>
      <c r="J79">
        <v>140000</v>
      </c>
      <c r="K79">
        <v>2.9735</v>
      </c>
      <c r="L79">
        <v>0.1</v>
      </c>
      <c r="M79" s="25">
        <v>0</v>
      </c>
      <c r="N79">
        <v>5.0000000000000001E-4</v>
      </c>
      <c r="O79" t="s">
        <v>0</v>
      </c>
      <c r="P79" t="s">
        <v>0</v>
      </c>
      <c r="Q79" t="s">
        <v>0</v>
      </c>
      <c r="R79" t="s">
        <v>0</v>
      </c>
      <c r="S79">
        <v>-0.94</v>
      </c>
    </row>
    <row r="80" spans="1:19">
      <c r="D80" s="26">
        <v>517.98</v>
      </c>
      <c r="E80" s="26">
        <v>615.11</v>
      </c>
      <c r="N80" s="26">
        <v>32.369999999999997</v>
      </c>
      <c r="O80" t="s">
        <v>0</v>
      </c>
    </row>
    <row r="81" spans="1:19">
      <c r="A81">
        <v>5.4999999999999997E-3</v>
      </c>
      <c r="B81">
        <v>22.2</v>
      </c>
      <c r="C81" s="25">
        <v>1.05</v>
      </c>
      <c r="D81">
        <v>5.4999999999999997E-3</v>
      </c>
      <c r="E81">
        <v>6.4999999999999997E-3</v>
      </c>
      <c r="F81" s="25">
        <v>1.0780000000000001</v>
      </c>
      <c r="G81">
        <v>19.5</v>
      </c>
      <c r="H81">
        <v>227</v>
      </c>
      <c r="I81">
        <v>0.04</v>
      </c>
      <c r="J81">
        <v>160000</v>
      </c>
      <c r="K81" t="s">
        <v>0</v>
      </c>
      <c r="L81">
        <v>1</v>
      </c>
      <c r="M81" s="25">
        <v>0</v>
      </c>
      <c r="N81">
        <v>1.5E-3</v>
      </c>
      <c r="O81" t="s">
        <v>0</v>
      </c>
      <c r="P81" t="s">
        <v>0</v>
      </c>
      <c r="Q81" t="s">
        <v>0</v>
      </c>
      <c r="R81" t="s">
        <v>0</v>
      </c>
      <c r="S81">
        <v>-0.96</v>
      </c>
    </row>
    <row r="82" spans="1:19">
      <c r="D82" s="26">
        <v>356.11</v>
      </c>
      <c r="E82" s="26">
        <v>420.86</v>
      </c>
      <c r="N82" s="26">
        <v>97.12</v>
      </c>
      <c r="O82" t="s">
        <v>0</v>
      </c>
    </row>
    <row r="83" spans="1:19">
      <c r="A83">
        <v>3.5000000000000001E-3</v>
      </c>
      <c r="B83">
        <v>1.9</v>
      </c>
      <c r="C83" s="25">
        <v>1.147</v>
      </c>
      <c r="D83">
        <v>3.0000000000000001E-3</v>
      </c>
      <c r="E83">
        <v>3.5000000000000001E-3</v>
      </c>
      <c r="F83" s="25">
        <v>1.171</v>
      </c>
      <c r="G83">
        <v>11.5</v>
      </c>
      <c r="H83">
        <v>7.4</v>
      </c>
      <c r="I83">
        <v>0.02</v>
      </c>
      <c r="J83">
        <v>200000</v>
      </c>
      <c r="K83">
        <v>4.5865</v>
      </c>
      <c r="L83" t="s">
        <v>0</v>
      </c>
      <c r="M83" t="s">
        <v>0</v>
      </c>
      <c r="N83" t="s">
        <v>0</v>
      </c>
      <c r="O83" t="s">
        <v>0</v>
      </c>
      <c r="P83" t="s">
        <v>0</v>
      </c>
      <c r="Q83" t="s">
        <v>0</v>
      </c>
      <c r="R83" t="s">
        <v>0</v>
      </c>
      <c r="S83">
        <v>-0.98</v>
      </c>
    </row>
    <row r="84" spans="1:19">
      <c r="D84" s="26">
        <v>194.23</v>
      </c>
      <c r="E84" s="26">
        <v>226.6</v>
      </c>
      <c r="N84" t="s">
        <v>0</v>
      </c>
      <c r="O84" t="s">
        <v>0</v>
      </c>
    </row>
    <row r="85" spans="1:19">
      <c r="A85">
        <v>1.5E-3</v>
      </c>
      <c r="B85">
        <v>23.9</v>
      </c>
      <c r="C85" s="25">
        <v>1.3029999999999999</v>
      </c>
      <c r="D85">
        <v>1E-3</v>
      </c>
      <c r="E85">
        <v>1.5E-3</v>
      </c>
      <c r="F85" s="25">
        <v>1.3580000000000001</v>
      </c>
      <c r="G85">
        <v>7.9</v>
      </c>
      <c r="H85">
        <v>6.3</v>
      </c>
      <c r="I85">
        <v>0.01</v>
      </c>
      <c r="J85">
        <v>300000</v>
      </c>
      <c r="K85">
        <v>7.3879999999999999</v>
      </c>
      <c r="L85" t="s">
        <v>0</v>
      </c>
      <c r="M85" t="s">
        <v>0</v>
      </c>
      <c r="N85" t="s">
        <v>0</v>
      </c>
      <c r="O85" t="s">
        <v>0</v>
      </c>
      <c r="P85" t="s">
        <v>0</v>
      </c>
      <c r="Q85" t="s">
        <v>0</v>
      </c>
      <c r="R85" t="s">
        <v>0</v>
      </c>
      <c r="S85">
        <v>-0.99</v>
      </c>
    </row>
    <row r="86" spans="1:19">
      <c r="D86" s="26">
        <v>64.75</v>
      </c>
      <c r="E86" s="26">
        <v>97.13</v>
      </c>
      <c r="N86" t="s">
        <v>0</v>
      </c>
      <c r="O86" t="s">
        <v>0</v>
      </c>
    </row>
    <row r="87" spans="1:19">
      <c r="A87">
        <v>5.0000000000000001E-4</v>
      </c>
      <c r="B87">
        <v>3</v>
      </c>
      <c r="C87" s="25">
        <v>1.4119999999999999</v>
      </c>
      <c r="D87">
        <v>5.0000000000000001E-4</v>
      </c>
      <c r="E87">
        <v>1E-3</v>
      </c>
      <c r="F87" s="25">
        <v>1.5029999999999999</v>
      </c>
      <c r="G87">
        <v>16.899999999999999</v>
      </c>
      <c r="H87" t="s">
        <v>0</v>
      </c>
      <c r="I87">
        <v>0</v>
      </c>
      <c r="J87">
        <v>400000</v>
      </c>
      <c r="K87">
        <v>7.1820000000000004</v>
      </c>
      <c r="L87">
        <v>2</v>
      </c>
      <c r="M87" s="25">
        <v>0</v>
      </c>
      <c r="N87">
        <v>0.1</v>
      </c>
      <c r="O87">
        <v>15</v>
      </c>
      <c r="P87" s="25">
        <v>5</v>
      </c>
      <c r="Q87">
        <v>0.1</v>
      </c>
      <c r="R87" t="s">
        <v>0</v>
      </c>
      <c r="S87">
        <v>-1</v>
      </c>
    </row>
    <row r="88" spans="1:19">
      <c r="D88" s="26">
        <v>32.369999999999997</v>
      </c>
      <c r="E88" s="26">
        <v>64.75</v>
      </c>
      <c r="N88" s="26">
        <v>6475.33</v>
      </c>
      <c r="O88" s="26">
        <v>971300.1</v>
      </c>
    </row>
  </sheetData>
  <mergeCells count="2">
    <mergeCell ref="A9:I9"/>
    <mergeCell ref="K9:S9"/>
  </mergeCells>
  <hyperlinks>
    <hyperlink ref="B1" r:id="rId1" location="/options?tab=BTC-27DEC21" xr:uid="{32C79082-1834-4649-984C-831029824D99}"/>
  </hyperlinks>
  <pageMargins left="0.7" right="0.7" top="0.75" bottom="0.75" header="0.3" footer="0.3"/>
  <pageSetup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Ejercicio</vt:lpstr>
      <vt:lpstr>BYMA - Equity</vt:lpstr>
      <vt:lpstr>NYSE - Equity</vt:lpstr>
      <vt:lpstr>CME - Futuro Soja</vt:lpstr>
      <vt:lpstr>ROFEX - Futuro Soja</vt:lpstr>
      <vt:lpstr>Crypto - BTCUSD</vt:lpstr>
    </vt:vector>
  </TitlesOfParts>
  <Company>www.OptionTradingTips.com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Clase 6 FOS</dc:title>
  <dc:creator>mmaurette@qontigo.com</dc:creator>
  <cp:lastModifiedBy>Manuel Maurette</cp:lastModifiedBy>
  <dcterms:created xsi:type="dcterms:W3CDTF">2004-07-13T06:23:33Z</dcterms:created>
  <dcterms:modified xsi:type="dcterms:W3CDTF">2022-08-22T23:44:54Z</dcterms:modified>
</cp:coreProperties>
</file>